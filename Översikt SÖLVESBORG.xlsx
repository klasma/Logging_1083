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Y2">
        <f>HYPERLINK("https://klasma.github.io/Logging_1083/klagomål/S 4534-2023 FSC-klagomål.docx", "S 4534-2023")</f>
        <v/>
      </c>
      <c r="Z2">
        <f>HYPERLINK("https://klasma.github.io/Logging_1083/klagomålsmail/S 4534-2023 FSC-klagomål mail.docx", "S 4534-2023")</f>
        <v/>
      </c>
      <c r="AA2">
        <f>HYPERLINK("https://klasma.github.io/Logging_1083/tillsyn/S 4534-2023 tillsynsbegäran.docx", "S 4534-2023")</f>
        <v/>
      </c>
      <c r="AB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Y3">
        <f>HYPERLINK("https://klasma.github.io/Logging_1083/klagomål/S 4692-2022 FSC-klagomål.docx", "S 4692-2022")</f>
        <v/>
      </c>
      <c r="Z3">
        <f>HYPERLINK("https://klasma.github.io/Logging_1083/klagomålsmail/S 4692-2022 FSC-klagomål mail.docx", "S 4692-2022")</f>
        <v/>
      </c>
      <c r="AA3">
        <f>HYPERLINK("https://klasma.github.io/Logging_1083/tillsyn/S 4692-2022 tillsynsbegäran.docx", "S 4692-2022")</f>
        <v/>
      </c>
      <c r="AB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Y4">
        <f>HYPERLINK("https://klasma.github.io/Logging_1083/klagomål/A 10274-2022 FSC-klagomål.docx", "A 10274-2022")</f>
        <v/>
      </c>
      <c r="Z4">
        <f>HYPERLINK("https://klasma.github.io/Logging_1083/klagomålsmail/A 10274-2022 FSC-klagomål mail.docx", "A 10274-2022")</f>
        <v/>
      </c>
      <c r="AA4">
        <f>HYPERLINK("https://klasma.github.io/Logging_1083/tillsyn/A 10274-2022 tillsynsbegäran.docx", "A 10274-2022")</f>
        <v/>
      </c>
      <c r="AB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Y5">
        <f>HYPERLINK("https://klasma.github.io/Logging_1083/klagomål/A 21769-2023 FSC-klagomål.docx", "A 21769-2023")</f>
        <v/>
      </c>
      <c r="Z5">
        <f>HYPERLINK("https://klasma.github.io/Logging_1083/klagomålsmail/A 21769-2023 FSC-klagomål mail.docx", "A 21769-2023")</f>
        <v/>
      </c>
      <c r="AA5">
        <f>HYPERLINK("https://klasma.github.io/Logging_1083/tillsyn/A 21769-2023 tillsynsbegäran.docx", "A 21769-2023")</f>
        <v/>
      </c>
      <c r="AB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46221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Kragjordstjärna</t>
        </is>
      </c>
      <c r="V6">
        <f>HYPERLINK("https://klasma.github.io/Logging_1083/artfynd/A 51772-2025 artfynd.xlsx", "A 51772-2025")</f>
        <v/>
      </c>
      <c r="W6">
        <f>HYPERLINK("https://klasma.github.io/Logging_1083/kartor/A 51772-2025 karta.png", "A 51772-2025")</f>
        <v/>
      </c>
      <c r="Y6">
        <f>HYPERLINK("https://klasma.github.io/Logging_1083/klagomål/A 51772-2025 FSC-klagomål.docx", "A 51772-2025")</f>
        <v/>
      </c>
      <c r="Z6">
        <f>HYPERLINK("https://klasma.github.io/Logging_1083/klagomålsmail/A 51772-2025 FSC-klagomål mail.docx", "A 51772-2025")</f>
        <v/>
      </c>
      <c r="AA6">
        <f>HYPERLINK("https://klasma.github.io/Logging_1083/tillsyn/A 51772-2025 tillsynsbegäran.docx", "A 51772-2025")</f>
        <v/>
      </c>
      <c r="AB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46221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Dvärgpipistrell</t>
        </is>
      </c>
      <c r="V7">
        <f>HYPERLINK("https://klasma.github.io/Logging_1083/artfynd/A 28478-2023 artfynd.xlsx", "A 28478-2023")</f>
        <v/>
      </c>
      <c r="W7">
        <f>HYPERLINK("https://klasma.github.io/Logging_1083/kartor/A 28478-2023 karta.png", "A 28478-2023")</f>
        <v/>
      </c>
      <c r="Y7">
        <f>HYPERLINK("https://klasma.github.io/Logging_1083/klagomål/A 28478-2023 FSC-klagomål.docx", "A 28478-2023")</f>
        <v/>
      </c>
      <c r="Z7">
        <f>HYPERLINK("https://klasma.github.io/Logging_1083/klagomålsmail/A 28478-2023 FSC-klagomål mail.docx", "A 28478-2023")</f>
        <v/>
      </c>
      <c r="AA7">
        <f>HYPERLINK("https://klasma.github.io/Logging_1083/tillsyn/A 28478-2023 tillsynsbegäran.docx", "A 28478-2023")</f>
        <v/>
      </c>
      <c r="AB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46221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Revlummer</t>
        </is>
      </c>
      <c r="V8">
        <f>HYPERLINK("https://klasma.github.io/Logging_1083/artfynd/A 48309-2024 artfynd.xlsx", "A 48309-2024")</f>
        <v/>
      </c>
      <c r="W8">
        <f>HYPERLINK("https://klasma.github.io/Logging_1083/kartor/A 48309-2024 karta.png", "A 48309-2024")</f>
        <v/>
      </c>
      <c r="Y8">
        <f>HYPERLINK("https://klasma.github.io/Logging_1083/klagomål/A 48309-2024 FSC-klagomål.docx", "A 48309-2024")</f>
        <v/>
      </c>
      <c r="Z8">
        <f>HYPERLINK("https://klasma.github.io/Logging_1083/klagomålsmail/A 48309-2024 FSC-klagomål mail.docx", "A 48309-2024")</f>
        <v/>
      </c>
      <c r="AA8">
        <f>HYPERLINK("https://klasma.github.io/Logging_1083/tillsyn/A 48309-2024 tillsynsbegäran.docx", "A 48309-2024")</f>
        <v/>
      </c>
      <c r="AB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46221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HYPERLINK("https://klasma.github.io/Logging_1083/artfynd/A 26455-2026 artfynd.xlsx", "A 26455-2026")</f>
        <v/>
      </c>
      <c r="W9">
        <f>HYPERLINK("https://klasma.github.io/Logging_1083/kartor/A 26455-2026 karta.png", "A 26455-2026")</f>
        <v/>
      </c>
      <c r="Y9">
        <f>HYPERLINK("https://klasma.github.io/Logging_1083/klagomål/A 26455-2026 FSC-klagomål.docx", "A 26455-2026")</f>
        <v/>
      </c>
      <c r="Z9">
        <f>HYPERLINK("https://klasma.github.io/Logging_1083/klagomålsmail/A 26455-2026 FSC-klagomål mail.docx", "A 26455-2026")</f>
        <v/>
      </c>
      <c r="AA9">
        <f>HYPERLINK("https://klasma.github.io/Logging_1083/tillsyn/A 26455-2026 tillsynsbegäran.docx", "A 26455-2026")</f>
        <v/>
      </c>
      <c r="AB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46221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Kösa</t>
        </is>
      </c>
      <c r="V10">
        <f>HYPERLINK("https://klasma.github.io/Logging_1083/artfynd/A 5339-2024 artfynd.xlsx", "A 5339-2024")</f>
        <v/>
      </c>
      <c r="W10">
        <f>HYPERLINK("https://klasma.github.io/Logging_1083/kartor/A 5339-2024 karta.png", "A 5339-2024")</f>
        <v/>
      </c>
      <c r="Y10">
        <f>HYPERLINK("https://klasma.github.io/Logging_1083/klagomål/A 5339-2024 FSC-klagomål.docx", "A 5339-2024")</f>
        <v/>
      </c>
      <c r="Z10">
        <f>HYPERLINK("https://klasma.github.io/Logging_1083/klagomålsmail/A 5339-2024 FSC-klagomål mail.docx", "A 5339-2024")</f>
        <v/>
      </c>
      <c r="AA10">
        <f>HYPERLINK("https://klasma.github.io/Logging_1083/tillsyn/A 5339-2024 tillsynsbegäran.docx", "A 5339-2024")</f>
        <v/>
      </c>
      <c r="AB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46221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Gröngöling</t>
        </is>
      </c>
      <c r="V11">
        <f>HYPERLINK("https://klasma.github.io/Logging_1083/artfynd/A 9316-2024 artfynd.xlsx", "A 9316-2024")</f>
        <v/>
      </c>
      <c r="W11">
        <f>HYPERLINK("https://klasma.github.io/Logging_1083/kartor/A 9316-2024 karta.png", "A 9316-2024")</f>
        <v/>
      </c>
      <c r="Y11">
        <f>HYPERLINK("https://klasma.github.io/Logging_1083/klagomål/A 9316-2024 FSC-klagomål.docx", "A 9316-2024")</f>
        <v/>
      </c>
      <c r="Z11">
        <f>HYPERLINK("https://klasma.github.io/Logging_1083/klagomålsmail/A 9316-2024 FSC-klagomål mail.docx", "A 9316-2024")</f>
        <v/>
      </c>
      <c r="AA11">
        <f>HYPERLINK("https://klasma.github.io/Logging_1083/tillsyn/A 9316-2024 tillsynsbegäran.docx", "A 9316-2024")</f>
        <v/>
      </c>
      <c r="AB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Y12">
        <f>HYPERLINK("https://klasma.github.io/Logging_1083/klagomål/S 762-2025 FSC-klagomål.docx", "S 762-2025")</f>
        <v/>
      </c>
      <c r="Z12">
        <f>HYPERLINK("https://klasma.github.io/Logging_1083/klagomålsmail/S 762-2025 FSC-klagomål mail.docx", "S 762-2025")</f>
        <v/>
      </c>
      <c r="AA12">
        <f>HYPERLINK("https://klasma.github.io/Logging_1083/tillsyn/S 762-2025 tillsynsbegäran.docx", "S 762-2025")</f>
        <v/>
      </c>
      <c r="AB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46221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46221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46221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46221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22906-2024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45448</v>
      </c>
      <c r="E20" s="1" t="n">
        <v>46221</v>
      </c>
      <c r="F20" t="inlineStr">
        <is>
          <t>BLEKINGE LÄN</t>
        </is>
      </c>
      <c r="G20" t="inlineStr">
        <is>
          <t>SÖLVESBORG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46221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45883</v>
      </c>
      <c r="E22" s="1" t="n">
        <v>46221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46221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46221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16188-2022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44669</v>
      </c>
      <c r="E25" s="1" t="n">
        <v>46221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49688-2025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46221</v>
      </c>
      <c r="F26" t="inlineStr">
        <is>
          <t>BLEKINGE LÄN</t>
        </is>
      </c>
      <c r="G26" t="inlineStr">
        <is>
          <t>SÖLVESBORG</t>
        </is>
      </c>
      <c r="I26" t="n">
        <v>16.1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41565-2025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46221</v>
      </c>
      <c r="F27" t="inlineStr">
        <is>
          <t>BLEKINGE LÄN</t>
        </is>
      </c>
      <c r="G27" t="inlineStr">
        <is>
          <t>SÖLVESBORG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12848-2022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44642</v>
      </c>
      <c r="E28" s="1" t="n">
        <v>46221</v>
      </c>
      <c r="F28" t="inlineStr">
        <is>
          <t>BLEKINGE LÄN</t>
        </is>
      </c>
      <c r="G28" t="inlineStr">
        <is>
          <t>SÖLVESBORG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46221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14136-2025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45738</v>
      </c>
      <c r="E30" s="1" t="n">
        <v>46221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16297-2022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44670</v>
      </c>
      <c r="E31" s="1" t="n">
        <v>46221</v>
      </c>
      <c r="F31" t="inlineStr">
        <is>
          <t>BLEKINGE LÄN</t>
        </is>
      </c>
      <c r="G31" t="inlineStr">
        <is>
          <t>SÖLVESBORG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32436-2025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46221</v>
      </c>
      <c r="F32" t="inlineStr">
        <is>
          <t>BLEKINGE LÄN</t>
        </is>
      </c>
      <c r="G32" t="inlineStr">
        <is>
          <t>SÖLVESBORG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46221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44493-2025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46221</v>
      </c>
      <c r="F34" t="inlineStr">
        <is>
          <t>BLEKINGE LÄN</t>
        </is>
      </c>
      <c r="G34" t="inlineStr">
        <is>
          <t>SÖLVESBORG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48751-2025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46221</v>
      </c>
      <c r="F35" t="inlineStr">
        <is>
          <t>BLEKINGE LÄN</t>
        </is>
      </c>
      <c r="G35" t="inlineStr">
        <is>
          <t>SÖLVESBORG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45275</v>
      </c>
      <c r="E36" s="1" t="n">
        <v>46221</v>
      </c>
      <c r="F36" t="inlineStr">
        <is>
          <t>BLEKINGE LÄN</t>
        </is>
      </c>
      <c r="G36" t="inlineStr">
        <is>
          <t>SÖLVESBORG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46221</v>
      </c>
      <c r="F37" t="inlineStr">
        <is>
          <t>BLEKINGE LÄN</t>
        </is>
      </c>
      <c r="G37" t="inlineStr">
        <is>
          <t>SÖLVESBORG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46221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62334-2023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46221</v>
      </c>
      <c r="F39" t="inlineStr">
        <is>
          <t>BLEKINGE LÄN</t>
        </is>
      </c>
      <c r="G39" t="inlineStr">
        <is>
          <t>SÖLVESBORG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46221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11528-2026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46083</v>
      </c>
      <c r="E41" s="1" t="n">
        <v>46221</v>
      </c>
      <c r="F41" t="inlineStr">
        <is>
          <t>BLEKINGE LÄN</t>
        </is>
      </c>
      <c r="G41" t="inlineStr">
        <is>
          <t>SÖLVESBORG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46500-2023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46221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33766-2024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46221</v>
      </c>
      <c r="F43" t="inlineStr">
        <is>
          <t>BLEKINGE LÄN</t>
        </is>
      </c>
      <c r="G43" t="inlineStr">
        <is>
          <t>SÖLVESBORG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20127-2025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46221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46221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46221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39130-2024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45548</v>
      </c>
      <c r="E47" s="1" t="n">
        <v>46221</v>
      </c>
      <c r="F47" t="inlineStr">
        <is>
          <t>BLEKINGE LÄN</t>
        </is>
      </c>
      <c r="G47" t="inlineStr">
        <is>
          <t>SÖLVESBORG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26493-2023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45092</v>
      </c>
      <c r="E48" s="1" t="n">
        <v>46221</v>
      </c>
      <c r="F48" t="inlineStr">
        <is>
          <t>BLEKINGE LÄN</t>
        </is>
      </c>
      <c r="G48" t="inlineStr">
        <is>
          <t>SÖLVESBORG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7134-2023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46221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52086-2023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46221</v>
      </c>
      <c r="F50" t="inlineStr">
        <is>
          <t>BLEKINGE LÄN</t>
        </is>
      </c>
      <c r="G50" t="inlineStr">
        <is>
          <t>SÖLVESBORG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19827-2024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45433</v>
      </c>
      <c r="E51" s="1" t="n">
        <v>46221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14481-2025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45741</v>
      </c>
      <c r="E52" s="1" t="n">
        <v>46221</v>
      </c>
      <c r="F52" t="inlineStr">
        <is>
          <t>BLEKINGE LÄN</t>
        </is>
      </c>
      <c r="G52" t="inlineStr">
        <is>
          <t>SÖLVESBORG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44571</v>
      </c>
      <c r="E53" s="1" t="n">
        <v>46221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46221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46221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38317-2025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46221</v>
      </c>
      <c r="F56" t="inlineStr">
        <is>
          <t>BLEKINGE LÄN</t>
        </is>
      </c>
      <c r="G56" t="inlineStr">
        <is>
          <t>SÖLVESBORG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2200-2025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46221</v>
      </c>
      <c r="F57" t="inlineStr">
        <is>
          <t>BLEKINGE LÄN</t>
        </is>
      </c>
      <c r="G57" t="inlineStr">
        <is>
          <t>SÖLVESBORG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46221</v>
      </c>
      <c r="F58" t="inlineStr">
        <is>
          <t>BLEKINGE LÄN</t>
        </is>
      </c>
      <c r="G58" t="inlineStr">
        <is>
          <t>SÖLVESBORG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46221</v>
      </c>
      <c r="F59" t="inlineStr">
        <is>
          <t>BLEKINGE LÄN</t>
        </is>
      </c>
      <c r="G59" t="inlineStr">
        <is>
          <t>SÖLVESBORG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47242-2023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46221</v>
      </c>
      <c r="F60" t="inlineStr">
        <is>
          <t>BLEKINGE LÄN</t>
        </is>
      </c>
      <c r="G60" t="inlineStr">
        <is>
          <t>SÖLVESBORG</t>
        </is>
      </c>
      <c r="I60" t="n">
        <v>11.6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8130-2025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45707</v>
      </c>
      <c r="E61" s="1" t="n">
        <v>46221</v>
      </c>
      <c r="F61" t="inlineStr">
        <is>
          <t>BLEKINGE LÄN</t>
        </is>
      </c>
      <c r="G61" t="inlineStr">
        <is>
          <t>SÖLVESBORG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30992-2022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44768</v>
      </c>
      <c r="E62" s="1" t="n">
        <v>46221</v>
      </c>
      <c r="F62" t="inlineStr">
        <is>
          <t>BLEKINGE LÄN</t>
        </is>
      </c>
      <c r="G62" t="inlineStr">
        <is>
          <t>SÖLVESBORG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46221</v>
      </c>
      <c r="F63" t="inlineStr">
        <is>
          <t>BLEKINGE LÄN</t>
        </is>
      </c>
      <c r="G63" t="inlineStr">
        <is>
          <t>SÖLVESBORG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46221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46221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46221</v>
      </c>
      <c r="F66" t="inlineStr">
        <is>
          <t>BLEKINGE LÄN</t>
        </is>
      </c>
      <c r="G66" t="inlineStr">
        <is>
          <t>SÖLVESBORG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46221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46221</v>
      </c>
      <c r="F68" t="inlineStr">
        <is>
          <t>BLEKINGE LÄN</t>
        </is>
      </c>
      <c r="G68" t="inlineStr">
        <is>
          <t>SÖLVESBORG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28082-2026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46195</v>
      </c>
      <c r="E69" s="1" t="n">
        <v>46221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33817-2025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45842</v>
      </c>
      <c r="E70" s="1" t="n">
        <v>46221</v>
      </c>
      <c r="F70" t="inlineStr">
        <is>
          <t>BLEKINGE LÄN</t>
        </is>
      </c>
      <c r="G70" t="inlineStr">
        <is>
          <t>SÖLVESBORG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46221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46221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46221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46221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46221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46221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46221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46221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46221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46221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46221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46221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46221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46221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46221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46221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46221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46221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46221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46221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46221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2026-07-18T01:24:13Z</dcterms:created>
  <dcterms:modified xmlns:dcterms="http://purl.org/dc/terms/" xmlns:xsi="http://www.w3.org/2001/XMLSchema-instance" xsi:type="dcterms:W3CDTF">2026-07-18T01:24:13Z</dcterms:modified>
</cp:coreProperties>
</file>