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5339-2024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45331</v>
      </c>
      <c r="E6" s="1" t="n">
        <v>46324</v>
      </c>
      <c r="F6" t="inlineStr">
        <is>
          <t>BLEKINGE LÄN</t>
        </is>
      </c>
      <c r="G6" t="inlineStr">
        <is>
          <t>SÖLVESBORG</t>
        </is>
      </c>
      <c r="I6" t="n">
        <v>1.9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Kösa</t>
        </is>
      </c>
      <c r="W6">
        <f>HYPERLINK("https://klasma.github.io/Logging_1083/artfynd/A 5339-2024 artfynd.xlsx", "A 5339-2024")</f>
        <v/>
      </c>
      <c r="X6">
        <f>HYPERLINK("https://klasma.github.io/Logging_1083/kartor/A 5339-2024 karta.png", "A 5339-2024")</f>
        <v/>
      </c>
      <c r="Y6">
        <f>HYPERLINK("https://klasma.github.io/Logging_1083/kartor_geotiff/A 5339-2024 georefererad karta.tif", "A 5339-2024")</f>
        <v/>
      </c>
      <c r="AA6">
        <f>HYPERLINK("https://klasma.github.io/Logging_1083/klagomål/A 5339-2024 FSC-klagomål.docx", "A 5339-2024")</f>
        <v/>
      </c>
      <c r="AB6">
        <f>HYPERLINK("https://klasma.github.io/Logging_1083/klagomålsmail/A 5339-2024 FSC-klagomål mail.docx", "A 5339-2024")</f>
        <v/>
      </c>
      <c r="AC6">
        <f>HYPERLINK("https://klasma.github.io/Logging_1083/tillsyn/A 5339-2024 tillsynsbegäran.docx", "A 5339-2024")</f>
        <v/>
      </c>
      <c r="AD6">
        <f>HYPERLINK("https://klasma.github.io/Logging_1083/tillsynsmail/A 5339-2024 tillsynsbegäran mail.docx", "A 5339-2024")</f>
        <v/>
      </c>
    </row>
    <row r="7" ht="15" customHeight="1">
      <c r="A7" t="inlineStr">
        <is>
          <t>A 9316-2024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46324</v>
      </c>
      <c r="F7" t="inlineStr">
        <is>
          <t>BLEKINGE LÄN</t>
        </is>
      </c>
      <c r="G7" t="inlineStr">
        <is>
          <t>SÖLVESBORG</t>
        </is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Gröngöling</t>
        </is>
      </c>
      <c r="W7">
        <f>HYPERLINK("https://klasma.github.io/Logging_1083/artfynd/A 9316-2024 artfynd.xlsx", "A 9316-2024")</f>
        <v/>
      </c>
      <c r="X7">
        <f>HYPERLINK("https://klasma.github.io/Logging_1083/kartor/A 9316-2024 karta.png", "A 9316-2024")</f>
        <v/>
      </c>
      <c r="Y7">
        <f>HYPERLINK("https://klasma.github.io/Logging_1083/kartor_geotiff/A 9316-2024 georefererad karta.tif", "A 9316-2024")</f>
        <v/>
      </c>
      <c r="AA7">
        <f>HYPERLINK("https://klasma.github.io/Logging_1083/klagomål/A 9316-2024 FSC-klagomål.docx", "A 9316-2024")</f>
        <v/>
      </c>
      <c r="AB7">
        <f>HYPERLINK("https://klasma.github.io/Logging_1083/klagomålsmail/A 9316-2024 FSC-klagomål mail.docx", "A 9316-2024")</f>
        <v/>
      </c>
      <c r="AC7">
        <f>HYPERLINK("https://klasma.github.io/Logging_1083/tillsyn/A 9316-2024 tillsynsbegäran.docx", "A 9316-2024")</f>
        <v/>
      </c>
      <c r="AD7">
        <f>HYPERLINK("https://klasma.github.io/Logging_1083/tillsynsmail/A 9316-2024 tillsynsbegäran mail.docx", "A 9316-2024")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46324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46324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46324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46324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44669</v>
      </c>
      <c r="E14" s="1" t="n">
        <v>46324</v>
      </c>
      <c r="F14" t="inlineStr">
        <is>
          <t>BLEKINGE LÄN</t>
        </is>
      </c>
      <c r="G14" t="inlineStr">
        <is>
          <t>SÖLVESBORG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46324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45309</v>
      </c>
      <c r="E16" s="1" t="n">
        <v>46324</v>
      </c>
      <c r="F16" t="inlineStr">
        <is>
          <t>BLEKINGE LÄN</t>
        </is>
      </c>
      <c r="G16" t="inlineStr">
        <is>
          <t>SÖLVESBORG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46324</v>
      </c>
      <c r="F17" t="inlineStr">
        <is>
          <t>BLEKINGE LÄN</t>
        </is>
      </c>
      <c r="G17" t="inlineStr">
        <is>
          <t>SÖLVESBORG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19827-2024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45433</v>
      </c>
      <c r="E18" s="1" t="n">
        <v>46324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9520-2022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46324</v>
      </c>
      <c r="F19" t="inlineStr">
        <is>
          <t>BLEKINGE LÄN</t>
        </is>
      </c>
      <c r="G19" t="inlineStr">
        <is>
          <t>SÖLVESBORG</t>
        </is>
      </c>
      <c r="I19" t="n">
        <v>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46324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2832-2023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44945</v>
      </c>
      <c r="E21" s="1" t="n">
        <v>46324</v>
      </c>
      <c r="F21" t="inlineStr">
        <is>
          <t>BLEKINGE LÄN</t>
        </is>
      </c>
      <c r="G21" t="inlineStr">
        <is>
          <t>SÖLVESBORG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46324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46324</v>
      </c>
      <c r="F23" t="inlineStr">
        <is>
          <t>BLEKINGE LÄN</t>
        </is>
      </c>
      <c r="G23" t="inlineStr">
        <is>
          <t>SÖLVESBORG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46324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39130-2024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46324</v>
      </c>
      <c r="F25" t="inlineStr">
        <is>
          <t>BLEKINGE LÄN</t>
        </is>
      </c>
      <c r="G25" t="inlineStr">
        <is>
          <t>SÖLVESBORG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66447-2021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44518</v>
      </c>
      <c r="E26" s="1" t="n">
        <v>46324</v>
      </c>
      <c r="F26" t="inlineStr">
        <is>
          <t>BLEKINGE LÄN</t>
        </is>
      </c>
      <c r="G26" t="inlineStr">
        <is>
          <t>SÖLVESBORG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33766-2024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45520</v>
      </c>
      <c r="E27" s="1" t="n">
        <v>46324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46324</v>
      </c>
      <c r="F28" t="inlineStr">
        <is>
          <t>BLEKINGE LÄN</t>
        </is>
      </c>
      <c r="G28" t="inlineStr">
        <is>
          <t>SÖLVESBORG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46324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46324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10403-2022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46324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46324</v>
      </c>
      <c r="F32" t="inlineStr">
        <is>
          <t>BLEKINGE LÄN</t>
        </is>
      </c>
      <c r="G32" t="inlineStr">
        <is>
          <t>SÖLVESBORG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44571</v>
      </c>
      <c r="E33" s="1" t="n">
        <v>46324</v>
      </c>
      <c r="F33" t="inlineStr">
        <is>
          <t>BLEKINGE LÄN</t>
        </is>
      </c>
      <c r="G33" t="inlineStr">
        <is>
          <t>SÖLVESBORG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33817-2025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46324</v>
      </c>
      <c r="F34" t="inlineStr">
        <is>
          <t>BLEKINGE LÄN</t>
        </is>
      </c>
      <c r="G34" t="inlineStr">
        <is>
          <t>SÖLVESBORG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46324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46324</v>
      </c>
      <c r="F36" t="inlineStr">
        <is>
          <t>BLEKINGE LÄN</t>
        </is>
      </c>
      <c r="G36" t="inlineStr">
        <is>
          <t>SÖLVESBORG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46324</v>
      </c>
      <c r="F37" t="inlineStr">
        <is>
          <t>BLEKINGE LÄN</t>
        </is>
      </c>
      <c r="G37" t="inlineStr">
        <is>
          <t>SÖLVESBORG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46324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46324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46324</v>
      </c>
      <c r="F40" t="inlineStr">
        <is>
          <t>BLEKINGE LÄN</t>
        </is>
      </c>
      <c r="G40" t="inlineStr">
        <is>
          <t>SÖLVESBORG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46324</v>
      </c>
      <c r="F41" t="inlineStr">
        <is>
          <t>BLEKINGE LÄN</t>
        </is>
      </c>
      <c r="G41" t="inlineStr">
        <is>
          <t>SÖLVESBORG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45266</v>
      </c>
      <c r="E42" s="1" t="n">
        <v>46324</v>
      </c>
      <c r="F42" t="inlineStr">
        <is>
          <t>BLEKINGE LÄN</t>
        </is>
      </c>
      <c r="G42" t="inlineStr">
        <is>
          <t>SÖLVESBORG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46324</v>
      </c>
      <c r="F43" t="inlineStr">
        <is>
          <t>BLEKINGE LÄN</t>
        </is>
      </c>
      <c r="G43" t="inlineStr">
        <is>
          <t>SÖLVESBORG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22561-2023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46324</v>
      </c>
      <c r="F44" t="inlineStr">
        <is>
          <t>BLEKINGE LÄN</t>
        </is>
      </c>
      <c r="G44" t="inlineStr">
        <is>
          <t>SÖLVESBORG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8130-2025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45707</v>
      </c>
      <c r="E45" s="1" t="n">
        <v>46324</v>
      </c>
      <c r="F45" t="inlineStr">
        <is>
          <t>BLEKINGE LÄN</t>
        </is>
      </c>
      <c r="G45" t="inlineStr">
        <is>
          <t>SÖLVESBORG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26744-2026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46324</v>
      </c>
      <c r="F46" t="inlineStr">
        <is>
          <t>BLEKINGE LÄN</t>
        </is>
      </c>
      <c r="G46" t="inlineStr">
        <is>
          <t>SÖLVESBORG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45939</v>
      </c>
      <c r="E47" s="1" t="n">
        <v>46324</v>
      </c>
      <c r="F47" t="inlineStr">
        <is>
          <t>BLEKINGE LÄN</t>
        </is>
      </c>
      <c r="G47" t="inlineStr">
        <is>
          <t>SÖLVESBORG</t>
        </is>
      </c>
      <c r="I47" t="n">
        <v>16.1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46324</v>
      </c>
      <c r="F48" t="inlineStr">
        <is>
          <t>BLEKINGE LÄN</t>
        </is>
      </c>
      <c r="G48" t="inlineStr">
        <is>
          <t>SÖLVESBORG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46188</v>
      </c>
      <c r="E49" s="1" t="n">
        <v>46324</v>
      </c>
      <c r="F49" t="inlineStr">
        <is>
          <t>BLEKINGE LÄN</t>
        </is>
      </c>
      <c r="G49" t="inlineStr">
        <is>
          <t>SÖLVESBORG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46083</v>
      </c>
      <c r="E50" s="1" t="n">
        <v>46324</v>
      </c>
      <c r="F50" t="inlineStr">
        <is>
          <t>BLEKINGE LÄN</t>
        </is>
      </c>
      <c r="G50" t="inlineStr">
        <is>
          <t>SÖLVESBORG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45258</v>
      </c>
      <c r="E51" s="1" t="n">
        <v>46324</v>
      </c>
      <c r="F51" t="inlineStr">
        <is>
          <t>BLEKINGE LÄN</t>
        </is>
      </c>
      <c r="G51" t="inlineStr">
        <is>
          <t>SÖLVESBORG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44983</v>
      </c>
      <c r="E52" s="1" t="n">
        <v>46324</v>
      </c>
      <c r="F52" t="inlineStr">
        <is>
          <t>BLEKINGE LÄN</t>
        </is>
      </c>
      <c r="G52" t="inlineStr">
        <is>
          <t>SÖLVESBORG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45197</v>
      </c>
      <c r="E53" s="1" t="n">
        <v>46324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44670</v>
      </c>
      <c r="E54" s="1" t="n">
        <v>46324</v>
      </c>
      <c r="F54" t="inlineStr">
        <is>
          <t>BLEKINGE LÄN</t>
        </is>
      </c>
      <c r="G54" t="inlineStr">
        <is>
          <t>SÖLVESBORG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45520</v>
      </c>
      <c r="E55" s="1" t="n">
        <v>46324</v>
      </c>
      <c r="F55" t="inlineStr">
        <is>
          <t>BLEKINGE LÄN</t>
        </is>
      </c>
      <c r="G55" t="inlineStr">
        <is>
          <t>SÖLVESBORG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45275</v>
      </c>
      <c r="E56" s="1" t="n">
        <v>46324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21464-2025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45782</v>
      </c>
      <c r="E57" s="1" t="n">
        <v>46324</v>
      </c>
      <c r="F57" t="inlineStr">
        <is>
          <t>BLEKINGE LÄN</t>
        </is>
      </c>
      <c r="G57" t="inlineStr">
        <is>
          <t>SÖLVESBORG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45741</v>
      </c>
      <c r="E58" s="1" t="n">
        <v>46324</v>
      </c>
      <c r="F58" t="inlineStr">
        <is>
          <t>BLEKINGE LÄN</t>
        </is>
      </c>
      <c r="G58" t="inlineStr">
        <is>
          <t>SÖLVESBORG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45416</v>
      </c>
      <c r="E59" s="1" t="n">
        <v>46324</v>
      </c>
      <c r="F59" t="inlineStr">
        <is>
          <t>BLEKINGE LÄN</t>
        </is>
      </c>
      <c r="G59" t="inlineStr">
        <is>
          <t>SÖLVESBORG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46324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46324</v>
      </c>
      <c r="F61" t="inlineStr">
        <is>
          <t>BLEKINGE LÄN</t>
        </is>
      </c>
      <c r="G61" t="inlineStr">
        <is>
          <t>SÖLVESBORG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14136-2025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45738</v>
      </c>
      <c r="E62" s="1" t="n">
        <v>46324</v>
      </c>
      <c r="F62" t="inlineStr">
        <is>
          <t>BLEKINGE LÄN</t>
        </is>
      </c>
      <c r="G62" t="inlineStr">
        <is>
          <t>SÖLVESBORG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46324</v>
      </c>
      <c r="F63" t="inlineStr">
        <is>
          <t>BLEKINGE LÄN</t>
        </is>
      </c>
      <c r="G63" t="inlineStr">
        <is>
          <t>SÖLVESBORG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46324</v>
      </c>
      <c r="F64" t="inlineStr">
        <is>
          <t>BLEKINGE LÄN</t>
        </is>
      </c>
      <c r="G64" t="inlineStr">
        <is>
          <t>SÖLVESBORG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46324</v>
      </c>
      <c r="F65" t="inlineStr">
        <is>
          <t>BLEKINGE LÄN</t>
        </is>
      </c>
      <c r="G65" t="inlineStr">
        <is>
          <t>SÖLVESBORG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46324</v>
      </c>
      <c r="F66" t="inlineStr">
        <is>
          <t>BLEKINGE LÄN</t>
        </is>
      </c>
      <c r="G66" t="inlineStr">
        <is>
          <t>SÖLVESBORG</t>
        </is>
      </c>
      <c r="I66" t="n">
        <v>8.1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46324</v>
      </c>
      <c r="F67" t="inlineStr">
        <is>
          <t>BLEKINGE LÄN</t>
        </is>
      </c>
      <c r="G67" t="inlineStr">
        <is>
          <t>SÖLVESBORG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45053</v>
      </c>
      <c r="E68" s="1" t="n">
        <v>46324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46295</v>
      </c>
      <c r="E69" s="1" t="n">
        <v>46324</v>
      </c>
      <c r="F69" t="inlineStr">
        <is>
          <t>BLEKINGE LÄN</t>
        </is>
      </c>
      <c r="G69" t="inlineStr">
        <is>
          <t>SÖLVESBORG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45184</v>
      </c>
      <c r="E70" s="1" t="n">
        <v>46324</v>
      </c>
      <c r="F70" t="inlineStr">
        <is>
          <t>BLEKINGE LÄN</t>
        </is>
      </c>
      <c r="G70" t="inlineStr">
        <is>
          <t>SÖLVESBORG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46294</v>
      </c>
      <c r="E71" s="1" t="n">
        <v>46324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46324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46324</v>
      </c>
      <c r="F73" t="inlineStr">
        <is>
          <t>BLEKINGE LÄN</t>
        </is>
      </c>
      <c r="G73" t="inlineStr">
        <is>
          <t>SÖLVESBORG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46324</v>
      </c>
      <c r="F74" t="inlineStr">
        <is>
          <t>BLEKINGE LÄN</t>
        </is>
      </c>
      <c r="G74" t="inlineStr">
        <is>
          <t>SÖLVESBORG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45525</v>
      </c>
      <c r="E75" s="1" t="n">
        <v>46324</v>
      </c>
      <c r="F75" t="inlineStr">
        <is>
          <t>BLEKINGE LÄN</t>
        </is>
      </c>
      <c r="G75" t="inlineStr">
        <is>
          <t>SÖLVESBORG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46324</v>
      </c>
      <c r="F76" t="inlineStr">
        <is>
          <t>BLEKINGE LÄN</t>
        </is>
      </c>
      <c r="G76" t="inlineStr">
        <is>
          <t>SÖLVESBORG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41062-2026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46297</v>
      </c>
      <c r="E77" s="1" t="n">
        <v>46324</v>
      </c>
      <c r="F77" t="inlineStr">
        <is>
          <t>BLEKINGE LÄN</t>
        </is>
      </c>
      <c r="G77" t="inlineStr">
        <is>
          <t>SÖLVESBORG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45331</v>
      </c>
      <c r="E78" s="1" t="n">
        <v>46324</v>
      </c>
      <c r="F78" t="inlineStr">
        <is>
          <t>BLEKINGE LÄN</t>
        </is>
      </c>
      <c r="G78" t="inlineStr">
        <is>
          <t>SÖLVESBORG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45197</v>
      </c>
      <c r="E79" s="1" t="n">
        <v>46324</v>
      </c>
      <c r="F79" t="inlineStr">
        <is>
          <t>BLEKINGE LÄN</t>
        </is>
      </c>
      <c r="G79" t="inlineStr">
        <is>
          <t>SÖLVESBORG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46324</v>
      </c>
      <c r="F80" t="inlineStr">
        <is>
          <t>BLEKINGE LÄN</t>
        </is>
      </c>
      <c r="G80" t="inlineStr">
        <is>
          <t>SÖLVESBORG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46324</v>
      </c>
      <c r="F81" t="inlineStr">
        <is>
          <t>BLEKINGE LÄN</t>
        </is>
      </c>
      <c r="G81" t="inlineStr">
        <is>
          <t>SÖLVESBORG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46300</v>
      </c>
      <c r="E82" s="1" t="n">
        <v>46324</v>
      </c>
      <c r="F82" t="inlineStr">
        <is>
          <t>BLEKINGE LÄN</t>
        </is>
      </c>
      <c r="G82" t="inlineStr">
        <is>
          <t>SÖLVESBORG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46324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45673</v>
      </c>
      <c r="E84" s="1" t="n">
        <v>46324</v>
      </c>
      <c r="F84" t="inlineStr">
        <is>
          <t>BLEKINGE LÄN</t>
        </is>
      </c>
      <c r="G84" t="inlineStr">
        <is>
          <t>SÖLVESBORG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45673</v>
      </c>
      <c r="E85" s="1" t="n">
        <v>46324</v>
      </c>
      <c r="F85" t="inlineStr">
        <is>
          <t>BLEKINGE LÄN</t>
        </is>
      </c>
      <c r="G85" t="inlineStr">
        <is>
          <t>SÖLVESBORG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43577-2026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46315</v>
      </c>
      <c r="E86" s="1" t="n">
        <v>46324</v>
      </c>
      <c r="F86" t="inlineStr">
        <is>
          <t>BLEKINGE LÄN</t>
        </is>
      </c>
      <c r="G86" t="inlineStr">
        <is>
          <t>SÖLVESBORG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46315</v>
      </c>
      <c r="E87" s="1" t="n">
        <v>46324</v>
      </c>
      <c r="F87" t="inlineStr">
        <is>
          <t>BLEKINGE LÄN</t>
        </is>
      </c>
      <c r="G87" t="inlineStr">
        <is>
          <t>SÖLVESBORG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46324</v>
      </c>
      <c r="F88" t="inlineStr">
        <is>
          <t>BLEKINGE LÄN</t>
        </is>
      </c>
      <c r="G88" t="inlineStr">
        <is>
          <t>SÖLVESBORG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46324</v>
      </c>
      <c r="F89" t="inlineStr">
        <is>
          <t>BLEKINGE LÄN</t>
        </is>
      </c>
      <c r="G89" t="inlineStr">
        <is>
          <t>SÖLVESBORG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46315</v>
      </c>
      <c r="E90" s="1" t="n">
        <v>46324</v>
      </c>
      <c r="F90" t="inlineStr">
        <is>
          <t>BLEKINGE LÄN</t>
        </is>
      </c>
      <c r="G90" t="inlineStr">
        <is>
          <t>SÖLVESBORG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46315</v>
      </c>
      <c r="E91" s="1" t="n">
        <v>46324</v>
      </c>
      <c r="F91" t="inlineStr">
        <is>
          <t>BLEKINGE LÄN</t>
        </is>
      </c>
      <c r="G91" t="inlineStr">
        <is>
          <t>SÖLVESBORG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46274</v>
      </c>
      <c r="E92" s="1" t="n">
        <v>46324</v>
      </c>
      <c r="F92" t="inlineStr">
        <is>
          <t>BLEKINGE LÄN</t>
        </is>
      </c>
      <c r="G92" t="inlineStr">
        <is>
          <t>SÖLVESBORG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46195</v>
      </c>
      <c r="E93" s="1" t="n">
        <v>46324</v>
      </c>
      <c r="F93" t="inlineStr">
        <is>
          <t>BLEKINGE LÄN</t>
        </is>
      </c>
      <c r="G93" t="inlineStr">
        <is>
          <t>SÖLVESBORG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8523-2025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45709</v>
      </c>
      <c r="E94" s="1" t="n">
        <v>46324</v>
      </c>
      <c r="F94" t="inlineStr">
        <is>
          <t>BLEKINGE LÄN</t>
        </is>
      </c>
      <c r="G94" t="inlineStr">
        <is>
          <t>SÖLVESBORG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46324</v>
      </c>
      <c r="F95" t="inlineStr">
        <is>
          <t>BLEKINGE LÄN</t>
        </is>
      </c>
      <c r="G95" t="inlineStr">
        <is>
          <t>SÖLVESBORG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46324</v>
      </c>
      <c r="F96" t="inlineStr">
        <is>
          <t>BLEKINGE LÄN</t>
        </is>
      </c>
      <c r="G96" t="inlineStr">
        <is>
          <t>SÖLVESBORG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46324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46324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46324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46324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46324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2026-10-29T03:12:11Z</dcterms:created>
  <dcterms:modified xmlns:dcterms="http://purl.org/dc/terms/" xmlns:xsi="http://www.w3.org/2001/XMLSchema-instance" xsi:type="dcterms:W3CDTF">2026-10-29T03:12:11Z</dcterms:modified>
</cp:coreProperties>
</file>