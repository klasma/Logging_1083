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46190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46190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26455-2026</t>
        </is>
      </c>
      <c r="B4" s="1" t="n">
        <v>46183.48219907407</v>
      </c>
      <c r="C4" s="1" t="n">
        <v>46190</v>
      </c>
      <c r="D4" t="inlineStr">
        <is>
          <t>BLEKINGE LÄN</t>
        </is>
      </c>
      <c r="E4" t="inlineStr">
        <is>
          <t>SÖLVESBORG</t>
        </is>
      </c>
      <c r="G4" t="n">
        <v>12.6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HYPERLINK("https://klasma.github.io/Logging_1083/artfynd/A 26455-2026 artfynd.xlsx", "A 26455-2026")</f>
        <v/>
      </c>
      <c r="T4">
        <f>HYPERLINK("https://klasma.github.io/Logging_1083/kartor/A 26455-2026 karta.png", "A 26455-2026")</f>
        <v/>
      </c>
      <c r="V4">
        <f>HYPERLINK("https://klasma.github.io/Logging_1083/klagomål/A 26455-2026 FSC-klagomål.docx", "A 26455-2026")</f>
        <v/>
      </c>
      <c r="W4">
        <f>HYPERLINK("https://klasma.github.io/Logging_1083/klagomålsmail/A 26455-2026 FSC-klagomål mail.docx", "A 26455-2026")</f>
        <v/>
      </c>
      <c r="X4">
        <f>HYPERLINK("https://klasma.github.io/Logging_1083/tillsyn/A 26455-2026 tillsynsbegäran.docx", "A 26455-2026")</f>
        <v/>
      </c>
      <c r="Y4">
        <f>HYPERLINK("https://klasma.github.io/Logging_1083/tillsynsmail/A 26455-2026 tillsynsbegäran mail.docx", "A 26455-2026")</f>
        <v/>
      </c>
    </row>
    <row r="5" ht="15" customHeight="1">
      <c r="A5" t="inlineStr">
        <is>
          <t>A 64148-2021</t>
        </is>
      </c>
      <c r="B5" s="1" t="n">
        <v>44509</v>
      </c>
      <c r="C5" s="1" t="n">
        <v>46190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46190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46190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9520-2022</t>
        </is>
      </c>
      <c r="B8" s="1" t="n">
        <v>44616</v>
      </c>
      <c r="C8" s="1" t="n">
        <v>46190</v>
      </c>
      <c r="D8" t="inlineStr">
        <is>
          <t>BLEKINGE LÄN</t>
        </is>
      </c>
      <c r="E8" t="inlineStr">
        <is>
          <t>SÖLVESBORG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60469-2023</t>
        </is>
      </c>
      <c r="B9" s="1" t="n">
        <v>45258</v>
      </c>
      <c r="C9" s="1" t="n">
        <v>46190</v>
      </c>
      <c r="D9" t="inlineStr">
        <is>
          <t>BLEKINGE LÄN</t>
        </is>
      </c>
      <c r="E9" t="inlineStr">
        <is>
          <t>SÖLVESBORG</t>
        </is>
      </c>
      <c r="G9" t="n">
        <v>8.4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52084-2023</t>
        </is>
      </c>
      <c r="B10" s="1" t="n">
        <v>45216</v>
      </c>
      <c r="C10" s="1" t="n">
        <v>46190</v>
      </c>
      <c r="D10" t="inlineStr">
        <is>
          <t>BLEKINGE LÄN</t>
        </is>
      </c>
      <c r="E10" t="inlineStr">
        <is>
          <t>SÖLVESBORG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9602-2023</t>
        </is>
      </c>
      <c r="B11" s="1" t="n">
        <v>44983.78570601852</v>
      </c>
      <c r="C11" s="1" t="n">
        <v>46190</v>
      </c>
      <c r="D11" t="inlineStr">
        <is>
          <t>BLEKINGE LÄN</t>
        </is>
      </c>
      <c r="E11" t="inlineStr">
        <is>
          <t>SÖLVESBORG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16297-2022</t>
        </is>
      </c>
      <c r="B12" s="1" t="n">
        <v>44670.55493055555</v>
      </c>
      <c r="C12" s="1" t="n">
        <v>46190</v>
      </c>
      <c r="D12" t="inlineStr">
        <is>
          <t>BLEKINGE LÄN</t>
        </is>
      </c>
      <c r="E12" t="inlineStr">
        <is>
          <t>SÖLVESBORG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46190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46190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33742-2024</t>
        </is>
      </c>
      <c r="B15" s="1" t="n">
        <v>45520</v>
      </c>
      <c r="C15" s="1" t="n">
        <v>46190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2327-2025</t>
        </is>
      </c>
      <c r="B16" s="1" t="n">
        <v>45673.63548611111</v>
      </c>
      <c r="C16" s="1" t="n">
        <v>46190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2325-2025</t>
        </is>
      </c>
      <c r="B17" s="1" t="n">
        <v>45673.63410879629</v>
      </c>
      <c r="C17" s="1" t="n">
        <v>46190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34394-2024</t>
        </is>
      </c>
      <c r="B18" s="1" t="n">
        <v>45525</v>
      </c>
      <c r="C18" s="1" t="n">
        <v>46190</v>
      </c>
      <c r="D18" t="inlineStr">
        <is>
          <t>BLEKINGE LÄN</t>
        </is>
      </c>
      <c r="E18" t="inlineStr">
        <is>
          <t>SÖLVESBORG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12683-2022</t>
        </is>
      </c>
      <c r="B19" s="1" t="n">
        <v>44641</v>
      </c>
      <c r="C19" s="1" t="n">
        <v>46190</v>
      </c>
      <c r="D19" t="inlineStr">
        <is>
          <t>BLEKINGE LÄN</t>
        </is>
      </c>
      <c r="E19" t="inlineStr">
        <is>
          <t>SÖLVESBORG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46190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46190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5407-2024</t>
        </is>
      </c>
      <c r="B22" s="1" t="n">
        <v>45331.60685185185</v>
      </c>
      <c r="C22" s="1" t="n">
        <v>46190</v>
      </c>
      <c r="D22" t="inlineStr">
        <is>
          <t>BLEKINGE LÄN</t>
        </is>
      </c>
      <c r="E22" t="inlineStr">
        <is>
          <t>SÖLVESBORG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14475-2025</t>
        </is>
      </c>
      <c r="B23" s="1" t="n">
        <v>45741</v>
      </c>
      <c r="C23" s="1" t="n">
        <v>46190</v>
      </c>
      <c r="D23" t="inlineStr">
        <is>
          <t>BLEKINGE LÄN</t>
        </is>
      </c>
      <c r="E23" t="inlineStr">
        <is>
          <t>SÖLVESBORG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47242-2023</t>
        </is>
      </c>
      <c r="B24" s="1" t="n">
        <v>45197</v>
      </c>
      <c r="C24" s="1" t="n">
        <v>46190</v>
      </c>
      <c r="D24" t="inlineStr">
        <is>
          <t>BLEKINGE LÄN</t>
        </is>
      </c>
      <c r="E24" t="inlineStr">
        <is>
          <t>SÖLVESBORG</t>
        </is>
      </c>
      <c r="G24" t="n">
        <v>11.6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30992-2022</t>
        </is>
      </c>
      <c r="B25" s="1" t="n">
        <v>44768.536875</v>
      </c>
      <c r="C25" s="1" t="n">
        <v>46190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46190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10390-2024</t>
        </is>
      </c>
      <c r="B27" s="1" t="n">
        <v>45365</v>
      </c>
      <c r="C27" s="1" t="n">
        <v>46190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46190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46190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10403-2022</t>
        </is>
      </c>
      <c r="B30" s="1" t="n">
        <v>44623</v>
      </c>
      <c r="C30" s="1" t="n">
        <v>46190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10997-2024</t>
        </is>
      </c>
      <c r="B31" s="1" t="n">
        <v>45370.56016203704</v>
      </c>
      <c r="C31" s="1" t="n">
        <v>46190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24313-2025</t>
        </is>
      </c>
      <c r="B32" s="1" t="n">
        <v>45797.52783564815</v>
      </c>
      <c r="C32" s="1" t="n">
        <v>46190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46190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8523-2025</t>
        </is>
      </c>
      <c r="B34" s="1" t="n">
        <v>45709</v>
      </c>
      <c r="C34" s="1" t="n">
        <v>46190</v>
      </c>
      <c r="D34" t="inlineStr">
        <is>
          <t>BLEKINGE LÄN</t>
        </is>
      </c>
      <c r="E34" t="inlineStr">
        <is>
          <t>SÖLVESBORG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46500-2023</t>
        </is>
      </c>
      <c r="B35" s="1" t="n">
        <v>45197</v>
      </c>
      <c r="C35" s="1" t="n">
        <v>46190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27402-2025</t>
        </is>
      </c>
      <c r="B36" s="1" t="n">
        <v>45812.71793981481</v>
      </c>
      <c r="C36" s="1" t="n">
        <v>46190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46190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61767-2022</t>
        </is>
      </c>
      <c r="B38" s="1" t="n">
        <v>44917.50982638889</v>
      </c>
      <c r="C38" s="1" t="n">
        <v>46190</v>
      </c>
      <c r="D38" t="inlineStr">
        <is>
          <t>BLEKINGE LÄN</t>
        </is>
      </c>
      <c r="E38" t="inlineStr">
        <is>
          <t>SÖLVESBORG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45416.45724537037</v>
      </c>
      <c r="C39" s="1" t="n">
        <v>46190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16188-2022</t>
        </is>
      </c>
      <c r="B40" s="1" t="n">
        <v>44669</v>
      </c>
      <c r="C40" s="1" t="n">
        <v>46190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44970.43828703704</v>
      </c>
      <c r="C41" s="1" t="n">
        <v>46190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46190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44871-2023</t>
        </is>
      </c>
      <c r="B43" s="1" t="n">
        <v>45190</v>
      </c>
      <c r="C43" s="1" t="n">
        <v>46190</v>
      </c>
      <c r="D43" t="inlineStr">
        <is>
          <t>BLEKINGE LÄN</t>
        </is>
      </c>
      <c r="E43" t="inlineStr">
        <is>
          <t>SÖLVESBORG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2089-2024</t>
        </is>
      </c>
      <c r="B44" s="1" t="n">
        <v>45309</v>
      </c>
      <c r="C44" s="1" t="n">
        <v>46190</v>
      </c>
      <c r="D44" t="inlineStr">
        <is>
          <t>BLEKINGE LÄN</t>
        </is>
      </c>
      <c r="E44" t="inlineStr">
        <is>
          <t>SÖLVESBORG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52086-2023</t>
        </is>
      </c>
      <c r="B45" s="1" t="n">
        <v>45216</v>
      </c>
      <c r="C45" s="1" t="n">
        <v>46190</v>
      </c>
      <c r="D45" t="inlineStr">
        <is>
          <t>BLEKINGE LÄN</t>
        </is>
      </c>
      <c r="E45" t="inlineStr">
        <is>
          <t>SÖLVESBORG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22906-2024</t>
        </is>
      </c>
      <c r="B46" s="1" t="n">
        <v>45448</v>
      </c>
      <c r="C46" s="1" t="n">
        <v>46190</v>
      </c>
      <c r="D46" t="inlineStr">
        <is>
          <t>BLEKINGE LÄN</t>
        </is>
      </c>
      <c r="E46" t="inlineStr">
        <is>
          <t>SÖLVESBORG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8837-2024</t>
        </is>
      </c>
      <c r="B47" s="1" t="n">
        <v>45356</v>
      </c>
      <c r="C47" s="1" t="n">
        <v>46190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41565-2025</t>
        </is>
      </c>
      <c r="B48" s="1" t="n">
        <v>45901.60275462963</v>
      </c>
      <c r="C48" s="1" t="n">
        <v>46190</v>
      </c>
      <c r="D48" t="inlineStr">
        <is>
          <t>BLEKINGE LÄN</t>
        </is>
      </c>
      <c r="E48" t="inlineStr">
        <is>
          <t>SÖLVESBORG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32514-2025</t>
        </is>
      </c>
      <c r="B49" s="1" t="n">
        <v>45838.475625</v>
      </c>
      <c r="C49" s="1" t="n">
        <v>46190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33817-2025</t>
        </is>
      </c>
      <c r="B50" s="1" t="n">
        <v>45842.46084490741</v>
      </c>
      <c r="C50" s="1" t="n">
        <v>46190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2832-2023</t>
        </is>
      </c>
      <c r="B51" s="1" t="n">
        <v>44945</v>
      </c>
      <c r="C51" s="1" t="n">
        <v>46190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20164-2023</t>
        </is>
      </c>
      <c r="B52" s="1" t="n">
        <v>45053</v>
      </c>
      <c r="C52" s="1" t="n">
        <v>46190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46190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51284-2023</t>
        </is>
      </c>
      <c r="B54" s="1" t="n">
        <v>45219</v>
      </c>
      <c r="C54" s="1" t="n">
        <v>46190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32436-2025</t>
        </is>
      </c>
      <c r="B55" s="1" t="n">
        <v>45838</v>
      </c>
      <c r="C55" s="1" t="n">
        <v>46190</v>
      </c>
      <c r="D55" t="inlineStr">
        <is>
          <t>BLEKINGE LÄN</t>
        </is>
      </c>
      <c r="E55" t="inlineStr">
        <is>
          <t>SÖLVESBORG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44493-2025</t>
        </is>
      </c>
      <c r="B56" s="1" t="n">
        <v>45916</v>
      </c>
      <c r="C56" s="1" t="n">
        <v>46190</v>
      </c>
      <c r="D56" t="inlineStr">
        <is>
          <t>BLEKINGE LÄN</t>
        </is>
      </c>
      <c r="E56" t="inlineStr">
        <is>
          <t>SÖLVESBORG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5339-2024</t>
        </is>
      </c>
      <c r="B57" s="1" t="n">
        <v>45331</v>
      </c>
      <c r="C57" s="1" t="n">
        <v>46190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44495-2025</t>
        </is>
      </c>
      <c r="B58" s="1" t="n">
        <v>45916</v>
      </c>
      <c r="C58" s="1" t="n">
        <v>46190</v>
      </c>
      <c r="D58" t="inlineStr">
        <is>
          <t>BLEKINGE LÄN</t>
        </is>
      </c>
      <c r="E58" t="inlineStr">
        <is>
          <t>SÖLVESBORG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38406-2025</t>
        </is>
      </c>
      <c r="B59" s="1" t="n">
        <v>45883.59122685185</v>
      </c>
      <c r="C59" s="1" t="n">
        <v>46190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9316-2024</t>
        </is>
      </c>
      <c r="B60" s="1" t="n">
        <v>45358</v>
      </c>
      <c r="C60" s="1" t="n">
        <v>46190</v>
      </c>
      <c r="D60" t="inlineStr">
        <is>
          <t>BLEKINGE LÄN</t>
        </is>
      </c>
      <c r="E60" t="inlineStr">
        <is>
          <t>SÖLVESBORG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39130-2024</t>
        </is>
      </c>
      <c r="B61" s="1" t="n">
        <v>45548</v>
      </c>
      <c r="C61" s="1" t="n">
        <v>46190</v>
      </c>
      <c r="D61" t="inlineStr">
        <is>
          <t>BLEKINGE LÄN</t>
        </is>
      </c>
      <c r="E61" t="inlineStr">
        <is>
          <t>SÖLVESBORG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66447-2021</t>
        </is>
      </c>
      <c r="B62" s="1" t="n">
        <v>44518.82853009259</v>
      </c>
      <c r="C62" s="1" t="n">
        <v>46190</v>
      </c>
      <c r="D62" t="inlineStr">
        <is>
          <t>BLEKINGE LÄN</t>
        </is>
      </c>
      <c r="E62" t="inlineStr">
        <is>
          <t>SÖLVESBORG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46190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46190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46190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33766-2024</t>
        </is>
      </c>
      <c r="B66" s="1" t="n">
        <v>45520</v>
      </c>
      <c r="C66" s="1" t="n">
        <v>46190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14481-2025</t>
        </is>
      </c>
      <c r="B67" s="1" t="n">
        <v>45741</v>
      </c>
      <c r="C67" s="1" t="n">
        <v>46190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51772-2025</t>
        </is>
      </c>
      <c r="B68" s="1" t="n">
        <v>45951</v>
      </c>
      <c r="C68" s="1" t="n">
        <v>46190</v>
      </c>
      <c r="D68" t="inlineStr">
        <is>
          <t>BLEKINGE LÄN</t>
        </is>
      </c>
      <c r="E68" t="inlineStr">
        <is>
          <t>SÖLVESBORG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49688-2025</t>
        </is>
      </c>
      <c r="B69" s="1" t="n">
        <v>45939</v>
      </c>
      <c r="C69" s="1" t="n">
        <v>46190</v>
      </c>
      <c r="D69" t="inlineStr">
        <is>
          <t>BLEKINGE LÄN</t>
        </is>
      </c>
      <c r="E69" t="inlineStr">
        <is>
          <t>SÖLVESBORG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46190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52893-2025</t>
        </is>
      </c>
      <c r="B71" s="1" t="n">
        <v>45957</v>
      </c>
      <c r="C71" s="1" t="n">
        <v>46190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53293-2025</t>
        </is>
      </c>
      <c r="B72" s="1" t="n">
        <v>45958</v>
      </c>
      <c r="C72" s="1" t="n">
        <v>46190</v>
      </c>
      <c r="D72" t="inlineStr">
        <is>
          <t>BLEKINGE LÄN</t>
        </is>
      </c>
      <c r="E72" t="inlineStr">
        <is>
          <t>SÖLVESBORG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1070-2022</t>
        </is>
      </c>
      <c r="B73" s="1" t="n">
        <v>44571</v>
      </c>
      <c r="C73" s="1" t="n">
        <v>46190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11528-2026</t>
        </is>
      </c>
      <c r="B74" s="1" t="n">
        <v>46083.69642361111</v>
      </c>
      <c r="C74" s="1" t="n">
        <v>46190</v>
      </c>
      <c r="D74" t="inlineStr">
        <is>
          <t>BLEKINGE LÄN</t>
        </is>
      </c>
      <c r="E74" t="inlineStr">
        <is>
          <t>SÖLVESBORG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28478-2023</t>
        </is>
      </c>
      <c r="B75" s="1" t="n">
        <v>45103</v>
      </c>
      <c r="C75" s="1" t="n">
        <v>46190</v>
      </c>
      <c r="D75" t="inlineStr">
        <is>
          <t>BLEKINGE LÄN</t>
        </is>
      </c>
      <c r="E75" t="inlineStr">
        <is>
          <t>SÖLVESBORG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12848-2022</t>
        </is>
      </c>
      <c r="B76" s="1" t="n">
        <v>44642</v>
      </c>
      <c r="C76" s="1" t="n">
        <v>46190</v>
      </c>
      <c r="D76" t="inlineStr">
        <is>
          <t>BLEKINGE LÄN</t>
        </is>
      </c>
      <c r="E76" t="inlineStr">
        <is>
          <t>SÖLVESBORG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28080-2023</t>
        </is>
      </c>
      <c r="B77" s="1" t="n">
        <v>45099</v>
      </c>
      <c r="C77" s="1" t="n">
        <v>46190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52089-2023</t>
        </is>
      </c>
      <c r="B78" s="1" t="n">
        <v>45216</v>
      </c>
      <c r="C78" s="1" t="n">
        <v>46190</v>
      </c>
      <c r="D78" t="inlineStr">
        <is>
          <t>BLEKINGE LÄN</t>
        </is>
      </c>
      <c r="E78" t="inlineStr">
        <is>
          <t>SÖLVESBORG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62334-2023</t>
        </is>
      </c>
      <c r="B79" s="1" t="n">
        <v>45266</v>
      </c>
      <c r="C79" s="1" t="n">
        <v>46190</v>
      </c>
      <c r="D79" t="inlineStr">
        <is>
          <t>BLEKINGE LÄN</t>
        </is>
      </c>
      <c r="E79" t="inlineStr">
        <is>
          <t>SÖLVESBORG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26493-2023</t>
        </is>
      </c>
      <c r="B80" s="1" t="n">
        <v>45092</v>
      </c>
      <c r="C80" s="1" t="n">
        <v>46190</v>
      </c>
      <c r="D80" t="inlineStr">
        <is>
          <t>BLEKINGE LÄN</t>
        </is>
      </c>
      <c r="E80" t="inlineStr">
        <is>
          <t>SÖLVESBORG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22561-2023</t>
        </is>
      </c>
      <c r="B81" s="1" t="n">
        <v>45069</v>
      </c>
      <c r="C81" s="1" t="n">
        <v>46190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8130-2025</t>
        </is>
      </c>
      <c r="B82" s="1" t="n">
        <v>45707</v>
      </c>
      <c r="C82" s="1" t="n">
        <v>46190</v>
      </c>
      <c r="D82" t="inlineStr">
        <is>
          <t>BLEKINGE LÄN</t>
        </is>
      </c>
      <c r="E82" t="inlineStr">
        <is>
          <t>SÖLVESBORG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26478-2023</t>
        </is>
      </c>
      <c r="B83" s="1" t="n">
        <v>45092</v>
      </c>
      <c r="C83" s="1" t="n">
        <v>46190</v>
      </c>
      <c r="D83" t="inlineStr">
        <is>
          <t>BLEKINGE LÄN</t>
        </is>
      </c>
      <c r="E83" t="inlineStr">
        <is>
          <t>SÖLVESBORG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34727-2021</t>
        </is>
      </c>
      <c r="B84" s="1" t="n">
        <v>44382</v>
      </c>
      <c r="C84" s="1" t="n">
        <v>46190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38317-2025</t>
        </is>
      </c>
      <c r="B85" s="1" t="n">
        <v>45883.48207175926</v>
      </c>
      <c r="C85" s="1" t="n">
        <v>46190</v>
      </c>
      <c r="D85" t="inlineStr">
        <is>
          <t>BLEKINGE LÄN</t>
        </is>
      </c>
      <c r="E85" t="inlineStr">
        <is>
          <t>SÖLVESBORG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26744-2026</t>
        </is>
      </c>
      <c r="B86" s="1" t="n">
        <v>46184.60517361111</v>
      </c>
      <c r="C86" s="1" t="n">
        <v>46190</v>
      </c>
      <c r="D86" t="inlineStr">
        <is>
          <t>BLEKINGE LÄN</t>
        </is>
      </c>
      <c r="E86" t="inlineStr">
        <is>
          <t>SÖLVESBORG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27151-2026</t>
        </is>
      </c>
      <c r="B87" s="1" t="n">
        <v>46188.40791666666</v>
      </c>
      <c r="C87" s="1" t="n">
        <v>46190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2026-06-17T09:19:50Z</dcterms:created>
  <dcterms:modified xmlns:dcterms="http://purl.org/dc/terms/" xmlns:xsi="http://www.w3.org/2001/XMLSchema-instance" xsi:type="dcterms:W3CDTF">2026-06-17T09:19:50Z</dcterms:modified>
</cp:coreProperties>
</file>