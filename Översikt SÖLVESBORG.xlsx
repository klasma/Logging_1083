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9316-2024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46320</v>
      </c>
      <c r="F6" t="inlineStr">
        <is>
          <t>BLEKINGE LÄN</t>
        </is>
      </c>
      <c r="G6" t="inlineStr">
        <is>
          <t>SÖLVESBORG</t>
        </is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Gröngöling</t>
        </is>
      </c>
      <c r="W6">
        <f>HYPERLINK("https://klasma.github.io/Logging_1083/artfynd/A 9316-2024 artfynd.xlsx", "A 9316-2024")</f>
        <v/>
      </c>
      <c r="X6">
        <f>HYPERLINK("https://klasma.github.io/Logging_1083/kartor/A 9316-2024 karta.png", "A 9316-2024")</f>
        <v/>
      </c>
      <c r="Y6">
        <f>HYPERLINK("https://klasma.github.io/Logging_1083/kartor_geotiff/A 9316-2024 georefererad karta.tif", "A 9316-2024")</f>
        <v/>
      </c>
      <c r="AA6">
        <f>HYPERLINK("https://klasma.github.io/Logging_1083/klagomål/A 9316-2024 FSC-klagomål.docx", "A 9316-2024")</f>
        <v/>
      </c>
      <c r="AB6">
        <f>HYPERLINK("https://klasma.github.io/Logging_1083/klagomålsmail/A 9316-2024 FSC-klagomål mail.docx", "A 9316-2024")</f>
        <v/>
      </c>
      <c r="AC6">
        <f>HYPERLINK("https://klasma.github.io/Logging_1083/tillsyn/A 9316-2024 tillsynsbegäran.docx", "A 9316-2024")</f>
        <v/>
      </c>
      <c r="AD6">
        <f>HYPERLINK("https://klasma.github.io/Logging_1083/tillsynsmail/A 9316-2024 tillsynsbegäran mail.docx", "A 9316-2024")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46320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46320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46320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46320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5339-2024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45331</v>
      </c>
      <c r="E11" s="1" t="n">
        <v>46320</v>
      </c>
      <c r="F11" t="inlineStr">
        <is>
          <t>BLEKINGE LÄN</t>
        </is>
      </c>
      <c r="G11" t="inlineStr">
        <is>
          <t>SÖLVESBORG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HYPERLINK("https://klasma.github.io/Logging_1083/artfynd/A 5339-2024 artfynd.xlsx", "A 5339-2024")</f>
        <v/>
      </c>
      <c r="X11">
        <f>HYPERLINK("https://klasma.github.io/Logging_1083/kartor/A 5339-2024 karta.png", "A 5339-2024")</f>
        <v/>
      </c>
      <c r="Y11">
        <f>HYPERLINK("https://klasma.github.io/Logging_1083/kartor_geotiff/A 5339-2024 georefererad karta.tif", "A 5339-2024")</f>
        <v/>
      </c>
      <c r="AA11">
        <f>HYPERLINK("https://klasma.github.io/Logging_1083/klagomål/A 5339-2024 FSC-klagomål.docx", "A 5339-2024")</f>
        <v/>
      </c>
      <c r="AB11">
        <f>HYPERLINK("https://klasma.github.io/Logging_1083/klagomålsmail/A 5339-2024 FSC-klagomål mail.docx", "A 5339-2024")</f>
        <v/>
      </c>
      <c r="AC11">
        <f>HYPERLINK("https://klasma.github.io/Logging_1083/tillsyn/A 5339-2024 tillsynsbegäran.docx", "A 5339-2024")</f>
        <v/>
      </c>
      <c r="AD11">
        <f>HYPERLINK("https://klasma.github.io/Logging_1083/tillsynsmail/A 5339-2024 tillsynsbegäran mail.docx", "A 5339-2024")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46320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46320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46320</v>
      </c>
      <c r="F16" t="inlineStr">
        <is>
          <t>BLEKINGE LÄN</t>
        </is>
      </c>
      <c r="G16" t="inlineStr">
        <is>
          <t>SÖLVESBORG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46320</v>
      </c>
      <c r="F17" t="inlineStr">
        <is>
          <t>BLEKINGE LÄN</t>
        </is>
      </c>
      <c r="G17" t="inlineStr">
        <is>
          <t>SÖLVESBORG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46320</v>
      </c>
      <c r="F18" t="inlineStr">
        <is>
          <t>BLEKINGE LÄN</t>
        </is>
      </c>
      <c r="G18" t="inlineStr">
        <is>
          <t>SÖLVESBORG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46320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46320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46320</v>
      </c>
      <c r="F21" t="inlineStr">
        <is>
          <t>BLEKINGE LÄN</t>
        </is>
      </c>
      <c r="G21" t="inlineStr">
        <is>
          <t>SÖLVESBORG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46320</v>
      </c>
      <c r="F22" t="inlineStr">
        <is>
          <t>BLEKINGE LÄN</t>
        </is>
      </c>
      <c r="G22" t="inlineStr">
        <is>
          <t>SÖLVESBORG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46320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45053</v>
      </c>
      <c r="E24" s="1" t="n">
        <v>46320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61767-2022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44917</v>
      </c>
      <c r="E25" s="1" t="n">
        <v>46320</v>
      </c>
      <c r="F25" t="inlineStr">
        <is>
          <t>BLEKINGE LÄN</t>
        </is>
      </c>
      <c r="G25" t="inlineStr">
        <is>
          <t>SÖLVESBORG</t>
        </is>
      </c>
      <c r="H25" t="inlineStr">
        <is>
          <t>Kyrkan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46320</v>
      </c>
      <c r="F26" t="inlineStr">
        <is>
          <t>BLEKINGE LÄN</t>
        </is>
      </c>
      <c r="G26" t="inlineStr">
        <is>
          <t>SÖLVESBORG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8523-2025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45709</v>
      </c>
      <c r="E27" s="1" t="n">
        <v>46320</v>
      </c>
      <c r="F27" t="inlineStr">
        <is>
          <t>BLEKINGE LÄN</t>
        </is>
      </c>
      <c r="G27" t="inlineStr">
        <is>
          <t>SÖLVESBORG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46320</v>
      </c>
      <c r="F28" t="inlineStr">
        <is>
          <t>BLEKINGE LÄN</t>
        </is>
      </c>
      <c r="G28" t="inlineStr">
        <is>
          <t>SÖLVESBORG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26744-2026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46184</v>
      </c>
      <c r="E29" s="1" t="n">
        <v>46320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45258</v>
      </c>
      <c r="E30" s="1" t="n">
        <v>46320</v>
      </c>
      <c r="F30" t="inlineStr">
        <is>
          <t>BLEKINGE LÄN</t>
        </is>
      </c>
      <c r="G30" t="inlineStr">
        <is>
          <t>SÖLVESBORG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46320</v>
      </c>
      <c r="F31" t="inlineStr">
        <is>
          <t>BLEKINGE LÄN</t>
        </is>
      </c>
      <c r="G31" t="inlineStr">
        <is>
          <t>SÖLVESBORG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45184</v>
      </c>
      <c r="E32" s="1" t="n">
        <v>46320</v>
      </c>
      <c r="F32" t="inlineStr">
        <is>
          <t>BLEKINGE LÄN</t>
        </is>
      </c>
      <c r="G32" t="inlineStr">
        <is>
          <t>SÖLVESBORG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46320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45309</v>
      </c>
      <c r="E34" s="1" t="n">
        <v>46320</v>
      </c>
      <c r="F34" t="inlineStr">
        <is>
          <t>BLEKINGE LÄN</t>
        </is>
      </c>
      <c r="G34" t="inlineStr">
        <is>
          <t>SÖLVESBORG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46320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46320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46320</v>
      </c>
      <c r="F37" t="inlineStr">
        <is>
          <t>BLEKINGE LÄN</t>
        </is>
      </c>
      <c r="G37" t="inlineStr">
        <is>
          <t>SÖLVESBORG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46320</v>
      </c>
      <c r="F38" t="inlineStr">
        <is>
          <t>BLEKINGE LÄN</t>
        </is>
      </c>
      <c r="G38" t="inlineStr">
        <is>
          <t>SÖLVESBORG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46320</v>
      </c>
      <c r="F39" t="inlineStr">
        <is>
          <t>BLEKINGE LÄN</t>
        </is>
      </c>
      <c r="G39" t="inlineStr">
        <is>
          <t>SÖLVESBORG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46320</v>
      </c>
      <c r="F40" t="inlineStr">
        <is>
          <t>BLEKINGE LÄN</t>
        </is>
      </c>
      <c r="G40" t="inlineStr">
        <is>
          <t>SÖLVESBORG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46320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45741</v>
      </c>
      <c r="E42" s="1" t="n">
        <v>46320</v>
      </c>
      <c r="F42" t="inlineStr">
        <is>
          <t>BLEKINGE LÄN</t>
        </is>
      </c>
      <c r="G42" t="inlineStr">
        <is>
          <t>SÖLVESBORG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45916</v>
      </c>
      <c r="E43" s="1" t="n">
        <v>46320</v>
      </c>
      <c r="F43" t="inlineStr">
        <is>
          <t>BLEKINGE LÄN</t>
        </is>
      </c>
      <c r="G43" t="inlineStr">
        <is>
          <t>SÖLVESBORG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46320</v>
      </c>
      <c r="F44" t="inlineStr">
        <is>
          <t>BLEKINGE LÄN</t>
        </is>
      </c>
      <c r="G44" t="inlineStr">
        <is>
          <t>SÖLVESBORG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45939</v>
      </c>
      <c r="E45" s="1" t="n">
        <v>46320</v>
      </c>
      <c r="F45" t="inlineStr">
        <is>
          <t>BLEKINGE LÄN</t>
        </is>
      </c>
      <c r="G45" t="inlineStr">
        <is>
          <t>SÖLVESBORG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40321-2026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46294</v>
      </c>
      <c r="E46" s="1" t="n">
        <v>46320</v>
      </c>
      <c r="F46" t="inlineStr">
        <is>
          <t>BLEKINGE LÄN</t>
        </is>
      </c>
      <c r="G46" t="inlineStr">
        <is>
          <t>SÖLVESBORG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46320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46295</v>
      </c>
      <c r="E48" s="1" t="n">
        <v>46320</v>
      </c>
      <c r="F48" t="inlineStr">
        <is>
          <t>BLEKINGE LÄN</t>
        </is>
      </c>
      <c r="G48" t="inlineStr">
        <is>
          <t>SÖLVESBORG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46083</v>
      </c>
      <c r="E49" s="1" t="n">
        <v>46320</v>
      </c>
      <c r="F49" t="inlineStr">
        <is>
          <t>BLEKINGE LÄN</t>
        </is>
      </c>
      <c r="G49" t="inlineStr">
        <is>
          <t>SÖLVESBORG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46320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46300</v>
      </c>
      <c r="E51" s="1" t="n">
        <v>46320</v>
      </c>
      <c r="F51" t="inlineStr">
        <is>
          <t>BLEKINGE LÄN</t>
        </is>
      </c>
      <c r="G51" t="inlineStr">
        <is>
          <t>SÖLVESBORG</t>
        </is>
      </c>
      <c r="I51" t="n">
        <v>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41352-2026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46300</v>
      </c>
      <c r="E52" s="1" t="n">
        <v>46320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46297</v>
      </c>
      <c r="E53" s="1" t="n">
        <v>46320</v>
      </c>
      <c r="F53" t="inlineStr">
        <is>
          <t>BLEKINGE LÄN</t>
        </is>
      </c>
      <c r="G53" t="inlineStr">
        <is>
          <t>SÖLVESBORG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46320</v>
      </c>
      <c r="F54" t="inlineStr">
        <is>
          <t>BLEKINGE LÄN</t>
        </is>
      </c>
      <c r="G54" t="inlineStr">
        <is>
          <t>SÖLVESBORG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46320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46320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46320</v>
      </c>
      <c r="F57" t="inlineStr">
        <is>
          <t>BLEKINGE LÄN</t>
        </is>
      </c>
      <c r="G57" t="inlineStr">
        <is>
          <t>SÖLVESBORG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46320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46315</v>
      </c>
      <c r="E59" s="1" t="n">
        <v>46320</v>
      </c>
      <c r="F59" t="inlineStr">
        <is>
          <t>BLEKINGE LÄN</t>
        </is>
      </c>
      <c r="G59" t="inlineStr">
        <is>
          <t>SÖLVESBORG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46315</v>
      </c>
      <c r="E60" s="1" t="n">
        <v>46320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46315</v>
      </c>
      <c r="E61" s="1" t="n">
        <v>46320</v>
      </c>
      <c r="F61" t="inlineStr">
        <is>
          <t>BLEKINGE LÄN</t>
        </is>
      </c>
      <c r="G61" t="inlineStr">
        <is>
          <t>SÖLVESBORG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46315</v>
      </c>
      <c r="E62" s="1" t="n">
        <v>46320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46315</v>
      </c>
      <c r="E63" s="1" t="n">
        <v>46320</v>
      </c>
      <c r="F63" t="inlineStr">
        <is>
          <t>BLEKINGE LÄN</t>
        </is>
      </c>
      <c r="G63" t="inlineStr">
        <is>
          <t>SÖLVESBORG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46315</v>
      </c>
      <c r="E64" s="1" t="n">
        <v>46320</v>
      </c>
      <c r="F64" t="inlineStr">
        <is>
          <t>BLEKINGE LÄN</t>
        </is>
      </c>
      <c r="G64" t="inlineStr">
        <is>
          <t>SÖLVESBORG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46274</v>
      </c>
      <c r="E65" s="1" t="n">
        <v>46320</v>
      </c>
      <c r="F65" t="inlineStr">
        <is>
          <t>BLEKINGE LÄN</t>
        </is>
      </c>
      <c r="G65" t="inlineStr">
        <is>
          <t>SÖLVESBORG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44669</v>
      </c>
      <c r="E66" s="1" t="n">
        <v>46320</v>
      </c>
      <c r="F66" t="inlineStr">
        <is>
          <t>BLEKINGE LÄN</t>
        </is>
      </c>
      <c r="G66" t="inlineStr">
        <is>
          <t>SÖLVESBORG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46320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46195</v>
      </c>
      <c r="E68" s="1" t="n">
        <v>46320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46320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14136-2025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45738</v>
      </c>
      <c r="E70" s="1" t="n">
        <v>46320</v>
      </c>
      <c r="F70" t="inlineStr">
        <is>
          <t>BLEKINGE LÄN</t>
        </is>
      </c>
      <c r="G70" t="inlineStr">
        <is>
          <t>SÖLVESBORG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46320</v>
      </c>
      <c r="F71" t="inlineStr">
        <is>
          <t>BLEKINGE LÄN</t>
        </is>
      </c>
      <c r="G71" t="inlineStr">
        <is>
          <t>SÖLVESBORG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46320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45842</v>
      </c>
      <c r="E73" s="1" t="n">
        <v>46320</v>
      </c>
      <c r="F73" t="inlineStr">
        <is>
          <t>BLEKINGE LÄN</t>
        </is>
      </c>
      <c r="G73" t="inlineStr">
        <is>
          <t>SÖLVESBORG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46320</v>
      </c>
      <c r="F74" t="inlineStr">
        <is>
          <t>BLEKINGE LÄN</t>
        </is>
      </c>
      <c r="G74" t="inlineStr">
        <is>
          <t>SÖLVESBORG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46320</v>
      </c>
      <c r="F75" t="inlineStr">
        <is>
          <t>BLEKINGE LÄN</t>
        </is>
      </c>
      <c r="G75" t="inlineStr">
        <is>
          <t>SÖLVESBORG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46320</v>
      </c>
      <c r="F76" t="inlineStr">
        <is>
          <t>BLEKINGE LÄN</t>
        </is>
      </c>
      <c r="G76" t="inlineStr">
        <is>
          <t>SÖLVESBORG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45197</v>
      </c>
      <c r="E77" s="1" t="n">
        <v>46320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46320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46320</v>
      </c>
      <c r="F79" t="inlineStr">
        <is>
          <t>BLEKINGE LÄN</t>
        </is>
      </c>
      <c r="G79" t="inlineStr">
        <is>
          <t>SÖLVESBORG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46320</v>
      </c>
      <c r="F80" t="inlineStr">
        <is>
          <t>BLEKINGE LÄN</t>
        </is>
      </c>
      <c r="G80" t="inlineStr">
        <is>
          <t>SÖLVESBORG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46320</v>
      </c>
      <c r="F81" t="inlineStr">
        <is>
          <t>BLEKINGE LÄN</t>
        </is>
      </c>
      <c r="G81" t="inlineStr">
        <is>
          <t>SÖLVESBORG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46320</v>
      </c>
      <c r="F82" t="inlineStr">
        <is>
          <t>BLEKINGE LÄN</t>
        </is>
      </c>
      <c r="G82" t="inlineStr">
        <is>
          <t>SÖLVESBORG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45433</v>
      </c>
      <c r="E83" s="1" t="n">
        <v>46320</v>
      </c>
      <c r="F83" t="inlineStr">
        <is>
          <t>BLEKINGE LÄN</t>
        </is>
      </c>
      <c r="G83" t="inlineStr">
        <is>
          <t>SÖLVESBORG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46320</v>
      </c>
      <c r="F84" t="inlineStr">
        <is>
          <t>BLEKINGE LÄN</t>
        </is>
      </c>
      <c r="G84" t="inlineStr">
        <is>
          <t>SÖLVESBORG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46320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44983</v>
      </c>
      <c r="E86" s="1" t="n">
        <v>46320</v>
      </c>
      <c r="F86" t="inlineStr">
        <is>
          <t>BLEKINGE LÄN</t>
        </is>
      </c>
      <c r="G86" t="inlineStr">
        <is>
          <t>SÖLVESBORG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45673</v>
      </c>
      <c r="E87" s="1" t="n">
        <v>46320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46320</v>
      </c>
      <c r="F88" t="inlineStr">
        <is>
          <t>BLEKINGE LÄN</t>
        </is>
      </c>
      <c r="G88" t="inlineStr">
        <is>
          <t>SÖLVESBORG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46320</v>
      </c>
      <c r="F89" t="inlineStr">
        <is>
          <t>BLEKINGE LÄN</t>
        </is>
      </c>
      <c r="G89" t="inlineStr">
        <is>
          <t>SÖLVESBORG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46320</v>
      </c>
      <c r="F90" t="inlineStr">
        <is>
          <t>BLEKINGE LÄN</t>
        </is>
      </c>
      <c r="G90" t="inlineStr">
        <is>
          <t>SÖLVESBORG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8130-2025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45707</v>
      </c>
      <c r="E91" s="1" t="n">
        <v>46320</v>
      </c>
      <c r="F91" t="inlineStr">
        <is>
          <t>BLEKINGE LÄN</t>
        </is>
      </c>
      <c r="G91" t="inlineStr">
        <is>
          <t>SÖLVESBORG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46320</v>
      </c>
      <c r="F92" t="inlineStr">
        <is>
          <t>BLEKINGE LÄN</t>
        </is>
      </c>
      <c r="G92" t="inlineStr">
        <is>
          <t>SÖLVESBORG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66447-2021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46320</v>
      </c>
      <c r="F93" t="inlineStr">
        <is>
          <t>BLEKINGE LÄN</t>
        </is>
      </c>
      <c r="G93" t="inlineStr">
        <is>
          <t>SÖLVESBORG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46320</v>
      </c>
      <c r="F94" t="inlineStr">
        <is>
          <t>BLEKINGE LÄN</t>
        </is>
      </c>
      <c r="G94" t="inlineStr">
        <is>
          <t>SÖLVESBORG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45673</v>
      </c>
      <c r="E95" s="1" t="n">
        <v>46320</v>
      </c>
      <c r="F95" t="inlineStr">
        <is>
          <t>BLEKINGE LÄN</t>
        </is>
      </c>
      <c r="G95" t="inlineStr">
        <is>
          <t>SÖLVESBORG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45673</v>
      </c>
      <c r="E96" s="1" t="n">
        <v>46320</v>
      </c>
      <c r="F96" t="inlineStr">
        <is>
          <t>BLEKINGE LÄN</t>
        </is>
      </c>
      <c r="G96" t="inlineStr">
        <is>
          <t>SÖLVESBORG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46320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46320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46320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46320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46320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2026-10-25T02:05:25Z</dcterms:created>
  <dcterms:modified xmlns:dcterms="http://purl.org/dc/terms/" xmlns:xsi="http://www.w3.org/2001/XMLSchema-instance" xsi:type="dcterms:W3CDTF">2026-10-25T02:05:25Z</dcterms:modified>
</cp:coreProperties>
</file>