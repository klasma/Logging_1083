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52946-2018</t>
        </is>
      </c>
      <c r="B2" s="1" t="n">
        <v>43389</v>
      </c>
      <c r="C2" s="1" t="n">
        <v>45364</v>
      </c>
      <c r="D2" t="inlineStr">
        <is>
          <t>BLEKINGE LÄN</t>
        </is>
      </c>
      <c r="E2" t="inlineStr">
        <is>
          <t>SÖLVESBORG</t>
        </is>
      </c>
      <c r="G2" t="n">
        <v>3.8</v>
      </c>
      <c r="H2" t="n">
        <v>3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Blåmossa
Åkergroda
Vanlig groda</t>
        </is>
      </c>
      <c r="S2">
        <f>HYPERLINK("https://klasma.github.io/Logging_1083/artfynd/A 52946-2018 artfynd.xlsx", "A 52946-2018")</f>
        <v/>
      </c>
      <c r="T2">
        <f>HYPERLINK("https://klasma.github.io/Logging_1083/kartor/A 52946-2018 karta.png", "A 52946-2018")</f>
        <v/>
      </c>
      <c r="V2">
        <f>HYPERLINK("https://klasma.github.io/Logging_1083/klagomål/A 52946-2018 FSC-klagomål.docx", "A 52946-2018")</f>
        <v/>
      </c>
      <c r="W2">
        <f>HYPERLINK("https://klasma.github.io/Logging_1083/klagomålsmail/A 52946-2018 FSC-klagomål mail.docx", "A 52946-2018")</f>
        <v/>
      </c>
      <c r="X2">
        <f>HYPERLINK("https://klasma.github.io/Logging_1083/tillsyn/A 52946-2018 tillsynsbegäran.docx", "A 52946-2018")</f>
        <v/>
      </c>
      <c r="Y2">
        <f>HYPERLINK("https://klasma.github.io/Logging_1083/tillsynsmail/A 52946-2018 tillsynsbegäran mail.docx", "A 52946-2018")</f>
        <v/>
      </c>
      <c r="Z2">
        <f>HYPERLINK("https://klasma.github.io/Logging_1083/fåglar/A 52946-2018 prioriterade fågelarter.docx", "A 52946-2018")</f>
        <v/>
      </c>
    </row>
    <row r="3" ht="15" customHeight="1">
      <c r="A3" t="inlineStr">
        <is>
          <t>A 56118-2023</t>
        </is>
      </c>
      <c r="B3" s="1" t="n">
        <v>45236</v>
      </c>
      <c r="C3" s="1" t="n">
        <v>45364</v>
      </c>
      <c r="D3" t="inlineStr">
        <is>
          <t>BLEKINGE LÄN</t>
        </is>
      </c>
      <c r="E3" t="inlineStr">
        <is>
          <t>SÖLVESBORG</t>
        </is>
      </c>
      <c r="G3" t="n">
        <v>2.7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Havsörn
Trana</t>
        </is>
      </c>
      <c r="S3">
        <f>HYPERLINK("https://klasma.github.io/Logging_1083/artfynd/A 56118-2023 artfynd.xlsx", "A 56118-2023")</f>
        <v/>
      </c>
      <c r="T3">
        <f>HYPERLINK("https://klasma.github.io/Logging_1083/kartor/A 56118-2023 karta.png", "A 56118-2023")</f>
        <v/>
      </c>
      <c r="V3">
        <f>HYPERLINK("https://klasma.github.io/Logging_1083/klagomål/A 56118-2023 FSC-klagomål.docx", "A 56118-2023")</f>
        <v/>
      </c>
      <c r="W3">
        <f>HYPERLINK("https://klasma.github.io/Logging_1083/klagomålsmail/A 56118-2023 FSC-klagomål mail.docx", "A 56118-2023")</f>
        <v/>
      </c>
      <c r="X3">
        <f>HYPERLINK("https://klasma.github.io/Logging_1083/tillsyn/A 56118-2023 tillsynsbegäran.docx", "A 56118-2023")</f>
        <v/>
      </c>
      <c r="Y3">
        <f>HYPERLINK("https://klasma.github.io/Logging_1083/tillsynsmail/A 56118-2023 tillsynsbegäran mail.docx", "A 56118-2023")</f>
        <v/>
      </c>
      <c r="Z3">
        <f>HYPERLINK("https://klasma.github.io/Logging_1083/fåglar/A 56118-2023 prioriterade fågelarter.docx", "A 56118-2023")</f>
        <v/>
      </c>
    </row>
    <row r="4" ht="15" customHeight="1">
      <c r="A4" t="inlineStr">
        <is>
          <t>A 21769-2023</t>
        </is>
      </c>
      <c r="B4" s="1" t="n">
        <v>45065</v>
      </c>
      <c r="C4" s="1" t="n">
        <v>45364</v>
      </c>
      <c r="D4" t="inlineStr">
        <is>
          <t>BLEKINGE LÄN</t>
        </is>
      </c>
      <c r="E4" t="inlineStr">
        <is>
          <t>SÖLVESBORG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HYPERLINK("https://klasma.github.io/Logging_1083/artfynd/A 21769-2023 artfynd.xlsx", "A 21769-2023")</f>
        <v/>
      </c>
      <c r="T4">
        <f>HYPERLINK("https://klasma.github.io/Logging_1083/kartor/A 21769-2023 karta.png", "A 21769-2023")</f>
        <v/>
      </c>
      <c r="V4">
        <f>HYPERLINK("https://klasma.github.io/Logging_1083/klagomål/A 21769-2023 FSC-klagomål.docx", "A 21769-2023")</f>
        <v/>
      </c>
      <c r="W4">
        <f>HYPERLINK("https://klasma.github.io/Logging_1083/klagomålsmail/A 21769-2023 FSC-klagomål mail.docx", "A 21769-2023")</f>
        <v/>
      </c>
      <c r="X4">
        <f>HYPERLINK("https://klasma.github.io/Logging_1083/tillsyn/A 21769-2023 tillsynsbegäran.docx", "A 21769-2023")</f>
        <v/>
      </c>
      <c r="Y4">
        <f>HYPERLINK("https://klasma.github.io/Logging_1083/tillsynsmail/A 21769-2023 tillsynsbegäran mail.docx", "A 21769-2023")</f>
        <v/>
      </c>
    </row>
    <row r="5" ht="15" customHeight="1">
      <c r="A5" t="inlineStr">
        <is>
          <t>A 35604-2018</t>
        </is>
      </c>
      <c r="B5" s="1" t="n">
        <v>43326</v>
      </c>
      <c r="C5" s="1" t="n">
        <v>45364</v>
      </c>
      <c r="D5" t="inlineStr">
        <is>
          <t>BLEKINGE LÄN</t>
        </is>
      </c>
      <c r="E5" t="inlineStr">
        <is>
          <t>SÖLVESBORG</t>
        </is>
      </c>
      <c r="G5" t="n">
        <v>26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67154-2018</t>
        </is>
      </c>
      <c r="B6" s="1" t="n">
        <v>43438</v>
      </c>
      <c r="C6" s="1" t="n">
        <v>45364</v>
      </c>
      <c r="D6" t="inlineStr">
        <is>
          <t>BLEKINGE LÄN</t>
        </is>
      </c>
      <c r="E6" t="inlineStr">
        <is>
          <t>SÖLVESBORG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22406-2019</t>
        </is>
      </c>
      <c r="B7" s="1" t="n">
        <v>43587</v>
      </c>
      <c r="C7" s="1" t="n">
        <v>45364</v>
      </c>
      <c r="D7" t="inlineStr">
        <is>
          <t>BLEKINGE LÄN</t>
        </is>
      </c>
      <c r="E7" t="inlineStr">
        <is>
          <t>SÖLVESBORG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23559-2019</t>
        </is>
      </c>
      <c r="B8" s="1" t="n">
        <v>43593</v>
      </c>
      <c r="C8" s="1" t="n">
        <v>45364</v>
      </c>
      <c r="D8" t="inlineStr">
        <is>
          <t>BLEKINGE LÄN</t>
        </is>
      </c>
      <c r="E8" t="inlineStr">
        <is>
          <t>SÖLVESBORG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57020-2019</t>
        </is>
      </c>
      <c r="B9" s="1" t="n">
        <v>43766</v>
      </c>
      <c r="C9" s="1" t="n">
        <v>45364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10182-2020</t>
        </is>
      </c>
      <c r="B10" s="1" t="n">
        <v>43885</v>
      </c>
      <c r="C10" s="1" t="n">
        <v>45364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15018-2020</t>
        </is>
      </c>
      <c r="B11" s="1" t="n">
        <v>43910</v>
      </c>
      <c r="C11" s="1" t="n">
        <v>45364</v>
      </c>
      <c r="D11" t="inlineStr">
        <is>
          <t>BLEKINGE LÄN</t>
        </is>
      </c>
      <c r="E11" t="inlineStr">
        <is>
          <t>SÖLVESBORG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24151-2020</t>
        </is>
      </c>
      <c r="B12" s="1" t="n">
        <v>43974</v>
      </c>
      <c r="C12" s="1" t="n">
        <v>45364</v>
      </c>
      <c r="D12" t="inlineStr">
        <is>
          <t>BLEKINGE LÄN</t>
        </is>
      </c>
      <c r="E12" t="inlineStr">
        <is>
          <t>SÖLVESBORG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57653-2020</t>
        </is>
      </c>
      <c r="B13" s="1" t="n">
        <v>44140</v>
      </c>
      <c r="C13" s="1" t="n">
        <v>45364</v>
      </c>
      <c r="D13" t="inlineStr">
        <is>
          <t>BLEKINGE LÄN</t>
        </is>
      </c>
      <c r="E13" t="inlineStr">
        <is>
          <t>SÖLVESBORG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9933-2021</t>
        </is>
      </c>
      <c r="B14" s="1" t="n">
        <v>44253</v>
      </c>
      <c r="C14" s="1" t="n">
        <v>45364</v>
      </c>
      <c r="D14" t="inlineStr">
        <is>
          <t>BLEKINGE LÄN</t>
        </is>
      </c>
      <c r="E14" t="inlineStr">
        <is>
          <t>SÖLVESBORG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45364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28206-2021</t>
        </is>
      </c>
      <c r="B16" s="1" t="n">
        <v>44355</v>
      </c>
      <c r="C16" s="1" t="n">
        <v>45364</v>
      </c>
      <c r="D16" t="inlineStr">
        <is>
          <t>BLEKINGE LÄN</t>
        </is>
      </c>
      <c r="E16" t="inlineStr">
        <is>
          <t>SÖLVESBORG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28216-2021</t>
        </is>
      </c>
      <c r="B17" s="1" t="n">
        <v>44355</v>
      </c>
      <c r="C17" s="1" t="n">
        <v>45364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28228-2021</t>
        </is>
      </c>
      <c r="B18" s="1" t="n">
        <v>44355</v>
      </c>
      <c r="C18" s="1" t="n">
        <v>45364</v>
      </c>
      <c r="D18" t="inlineStr">
        <is>
          <t>BLEKINGE LÄN</t>
        </is>
      </c>
      <c r="E18" t="inlineStr">
        <is>
          <t>SÖLVESBORG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28524-2021</t>
        </is>
      </c>
      <c r="B19" s="1" t="n">
        <v>44356</v>
      </c>
      <c r="C19" s="1" t="n">
        <v>45364</v>
      </c>
      <c r="D19" t="inlineStr">
        <is>
          <t>BLEKINGE LÄN</t>
        </is>
      </c>
      <c r="E19" t="inlineStr">
        <is>
          <t>SÖLVESBORG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30757-2021</t>
        </is>
      </c>
      <c r="B20" s="1" t="n">
        <v>44365</v>
      </c>
      <c r="C20" s="1" t="n">
        <v>45364</v>
      </c>
      <c r="D20" t="inlineStr">
        <is>
          <t>BLEKINGE LÄN</t>
        </is>
      </c>
      <c r="E20" t="inlineStr">
        <is>
          <t>SÖLVESBORG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45364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34727-2021</t>
        </is>
      </c>
      <c r="B22" s="1" t="n">
        <v>44382</v>
      </c>
      <c r="C22" s="1" t="n">
        <v>45364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58607-2021</t>
        </is>
      </c>
      <c r="B23" s="1" t="n">
        <v>44488</v>
      </c>
      <c r="C23" s="1" t="n">
        <v>45364</v>
      </c>
      <c r="D23" t="inlineStr">
        <is>
          <t>BLEKINGE LÄN</t>
        </is>
      </c>
      <c r="E23" t="inlineStr">
        <is>
          <t>SÖLVESBORG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64148-2021</t>
        </is>
      </c>
      <c r="B24" s="1" t="n">
        <v>44509</v>
      </c>
      <c r="C24" s="1" t="n">
        <v>45364</v>
      </c>
      <c r="D24" t="inlineStr">
        <is>
          <t>BLEKINGE LÄN</t>
        </is>
      </c>
      <c r="E24" t="inlineStr">
        <is>
          <t>SÖLVESBORG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</v>
      </c>
      <c r="C25" s="1" t="n">
        <v>45364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1070-2022</t>
        </is>
      </c>
      <c r="B26" s="1" t="n">
        <v>44571</v>
      </c>
      <c r="C26" s="1" t="n">
        <v>45364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9520-2022</t>
        </is>
      </c>
      <c r="B27" s="1" t="n">
        <v>44616</v>
      </c>
      <c r="C27" s="1" t="n">
        <v>45364</v>
      </c>
      <c r="D27" t="inlineStr">
        <is>
          <t>BLEKINGE LÄN</t>
        </is>
      </c>
      <c r="E27" t="inlineStr">
        <is>
          <t>SÖLVESBORG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10274-2022</t>
        </is>
      </c>
      <c r="B28" s="1" t="n">
        <v>44622</v>
      </c>
      <c r="C28" s="1" t="n">
        <v>45364</v>
      </c>
      <c r="D28" t="inlineStr">
        <is>
          <t>BLEKINGE LÄN</t>
        </is>
      </c>
      <c r="E28" t="inlineStr">
        <is>
          <t>SÖLVESBORG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10403-2022</t>
        </is>
      </c>
      <c r="B29" s="1" t="n">
        <v>44623</v>
      </c>
      <c r="C29" s="1" t="n">
        <v>45364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12683-2022</t>
        </is>
      </c>
      <c r="B30" s="1" t="n">
        <v>44641</v>
      </c>
      <c r="C30" s="1" t="n">
        <v>45364</v>
      </c>
      <c r="D30" t="inlineStr">
        <is>
          <t>BLEKINGE LÄN</t>
        </is>
      </c>
      <c r="E30" t="inlineStr">
        <is>
          <t>SÖLVESBORG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12298-2022</t>
        </is>
      </c>
      <c r="B31" s="1" t="n">
        <v>44641</v>
      </c>
      <c r="C31" s="1" t="n">
        <v>45364</v>
      </c>
      <c r="D31" t="inlineStr">
        <is>
          <t>BLEKINGE LÄN</t>
        </is>
      </c>
      <c r="E31" t="inlineStr">
        <is>
          <t>SÖLVESBORG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12815-2022</t>
        </is>
      </c>
      <c r="B32" s="1" t="n">
        <v>44642</v>
      </c>
      <c r="C32" s="1" t="n">
        <v>45364</v>
      </c>
      <c r="D32" t="inlineStr">
        <is>
          <t>BLEKINGE LÄN</t>
        </is>
      </c>
      <c r="E32" t="inlineStr">
        <is>
          <t>SÖLVESBORG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45364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45364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</v>
      </c>
      <c r="C35" s="1" t="n">
        <v>45364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16284-2022</t>
        </is>
      </c>
      <c r="B36" s="1" t="n">
        <v>44670</v>
      </c>
      <c r="C36" s="1" t="n">
        <v>45364</v>
      </c>
      <c r="D36" t="inlineStr">
        <is>
          <t>BLEKINGE LÄN</t>
        </is>
      </c>
      <c r="E36" t="inlineStr">
        <is>
          <t>SÖLVESBORG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</v>
      </c>
      <c r="C37" s="1" t="n">
        <v>45364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36416-2022</t>
        </is>
      </c>
      <c r="B38" s="1" t="n">
        <v>44804</v>
      </c>
      <c r="C38" s="1" t="n">
        <v>45364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61767-2022</t>
        </is>
      </c>
      <c r="B39" s="1" t="n">
        <v>44917</v>
      </c>
      <c r="C39" s="1" t="n">
        <v>45364</v>
      </c>
      <c r="D39" t="inlineStr">
        <is>
          <t>BLEKINGE LÄN</t>
        </is>
      </c>
      <c r="E39" t="inlineStr">
        <is>
          <t>SÖLVESBORG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2832-2023</t>
        </is>
      </c>
      <c r="B40" s="1" t="n">
        <v>44945</v>
      </c>
      <c r="C40" s="1" t="n">
        <v>45364</v>
      </c>
      <c r="D40" t="inlineStr">
        <is>
          <t>BLEKINGE LÄN</t>
        </is>
      </c>
      <c r="E40" t="inlineStr">
        <is>
          <t>SÖLVESBORG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7134-2023</t>
        </is>
      </c>
      <c r="B41" s="1" t="n">
        <v>44970</v>
      </c>
      <c r="C41" s="1" t="n">
        <v>45364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7864-2023</t>
        </is>
      </c>
      <c r="B42" s="1" t="n">
        <v>44973</v>
      </c>
      <c r="C42" s="1" t="n">
        <v>45364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8322-2023</t>
        </is>
      </c>
      <c r="B43" s="1" t="n">
        <v>44974</v>
      </c>
      <c r="C43" s="1" t="n">
        <v>45364</v>
      </c>
      <c r="D43" t="inlineStr">
        <is>
          <t>BLEKINGE LÄN</t>
        </is>
      </c>
      <c r="E43" t="inlineStr">
        <is>
          <t>SÖLVESBORG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9602-2023</t>
        </is>
      </c>
      <c r="B44" s="1" t="n">
        <v>44983</v>
      </c>
      <c r="C44" s="1" t="n">
        <v>45364</v>
      </c>
      <c r="D44" t="inlineStr">
        <is>
          <t>BLEKINGE LÄN</t>
        </is>
      </c>
      <c r="E44" t="inlineStr">
        <is>
          <t>SÖLVESBORG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9600-2023</t>
        </is>
      </c>
      <c r="B45" s="1" t="n">
        <v>44983</v>
      </c>
      <c r="C45" s="1" t="n">
        <v>45364</v>
      </c>
      <c r="D45" t="inlineStr">
        <is>
          <t>BLEKINGE LÄN</t>
        </is>
      </c>
      <c r="E45" t="inlineStr">
        <is>
          <t>SÖLVESBORG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9599-2023</t>
        </is>
      </c>
      <c r="B46" s="1" t="n">
        <v>44983</v>
      </c>
      <c r="C46" s="1" t="n">
        <v>45364</v>
      </c>
      <c r="D46" t="inlineStr">
        <is>
          <t>BLEKINGE LÄN</t>
        </is>
      </c>
      <c r="E46" t="inlineStr">
        <is>
          <t>SÖLVESBORG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20164-2023</t>
        </is>
      </c>
      <c r="B47" s="1" t="n">
        <v>45053</v>
      </c>
      <c r="C47" s="1" t="n">
        <v>45364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22561-2023</t>
        </is>
      </c>
      <c r="B48" s="1" t="n">
        <v>45069</v>
      </c>
      <c r="C48" s="1" t="n">
        <v>45364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25458-2023</t>
        </is>
      </c>
      <c r="B49" s="1" t="n">
        <v>45089</v>
      </c>
      <c r="C49" s="1" t="n">
        <v>45364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26478-2023</t>
        </is>
      </c>
      <c r="B50" s="1" t="n">
        <v>45092</v>
      </c>
      <c r="C50" s="1" t="n">
        <v>45364</v>
      </c>
      <c r="D50" t="inlineStr">
        <is>
          <t>BLEKINGE LÄN</t>
        </is>
      </c>
      <c r="E50" t="inlineStr">
        <is>
          <t>SÖLVESBORG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45364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28080-2023</t>
        </is>
      </c>
      <c r="B52" s="1" t="n">
        <v>45099</v>
      </c>
      <c r="C52" s="1" t="n">
        <v>45364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45364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32327-2023</t>
        </is>
      </c>
      <c r="B54" s="1" t="n">
        <v>45120</v>
      </c>
      <c r="C54" s="1" t="n">
        <v>45364</v>
      </c>
      <c r="D54" t="inlineStr">
        <is>
          <t>BLEKINGE LÄN</t>
        </is>
      </c>
      <c r="E54" t="inlineStr">
        <is>
          <t>SÖLVESBORG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39654-2023</t>
        </is>
      </c>
      <c r="B55" s="1" t="n">
        <v>45166</v>
      </c>
      <c r="C55" s="1" t="n">
        <v>45364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45364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44871-2023</t>
        </is>
      </c>
      <c r="B57" s="1" t="n">
        <v>45190</v>
      </c>
      <c r="C57" s="1" t="n">
        <v>45364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45364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47242-2023</t>
        </is>
      </c>
      <c r="B59" s="1" t="n">
        <v>45197</v>
      </c>
      <c r="C59" s="1" t="n">
        <v>45364</v>
      </c>
      <c r="D59" t="inlineStr">
        <is>
          <t>BLEKINGE LÄN</t>
        </is>
      </c>
      <c r="E59" t="inlineStr">
        <is>
          <t>SÖLVESBORG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47883-2023</t>
        </is>
      </c>
      <c r="B60" s="1" t="n">
        <v>45204</v>
      </c>
      <c r="C60" s="1" t="n">
        <v>45364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49285-2023</t>
        </is>
      </c>
      <c r="B61" s="1" t="n">
        <v>45210</v>
      </c>
      <c r="C61" s="1" t="n">
        <v>45364</v>
      </c>
      <c r="D61" t="inlineStr">
        <is>
          <t>BLEKINGE LÄN</t>
        </is>
      </c>
      <c r="E61" t="inlineStr">
        <is>
          <t>SÖLVESBORG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50111-2023</t>
        </is>
      </c>
      <c r="B62" s="1" t="n">
        <v>45215</v>
      </c>
      <c r="C62" s="1" t="n">
        <v>45364</v>
      </c>
      <c r="D62" t="inlineStr">
        <is>
          <t>BLEKINGE LÄN</t>
        </is>
      </c>
      <c r="E62" t="inlineStr">
        <is>
          <t>SÖLVESBORG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52084-2023</t>
        </is>
      </c>
      <c r="B63" s="1" t="n">
        <v>45216</v>
      </c>
      <c r="C63" s="1" t="n">
        <v>45364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45364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52089-2023</t>
        </is>
      </c>
      <c r="B65" s="1" t="n">
        <v>45216</v>
      </c>
      <c r="C65" s="1" t="n">
        <v>45364</v>
      </c>
      <c r="D65" t="inlineStr">
        <is>
          <t>BLEKINGE LÄN</t>
        </is>
      </c>
      <c r="E65" t="inlineStr">
        <is>
          <t>SÖLVESBORG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51284-2023</t>
        </is>
      </c>
      <c r="B66" s="1" t="n">
        <v>45219</v>
      </c>
      <c r="C66" s="1" t="n">
        <v>45364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53643-2023</t>
        </is>
      </c>
      <c r="B67" s="1" t="n">
        <v>45230</v>
      </c>
      <c r="C67" s="1" t="n">
        <v>45364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60469-2023</t>
        </is>
      </c>
      <c r="B68" s="1" t="n">
        <v>45258</v>
      </c>
      <c r="C68" s="1" t="n">
        <v>45364</v>
      </c>
      <c r="D68" t="inlineStr">
        <is>
          <t>BLEKINGE LÄN</t>
        </is>
      </c>
      <c r="E68" t="inlineStr">
        <is>
          <t>SÖLVESBORG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45364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63571-2023</t>
        </is>
      </c>
      <c r="B70" s="1" t="n">
        <v>45275</v>
      </c>
      <c r="C70" s="1" t="n">
        <v>45364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63573-2023</t>
        </is>
      </c>
      <c r="B71" s="1" t="n">
        <v>45275</v>
      </c>
      <c r="C71" s="1" t="n">
        <v>45364</v>
      </c>
      <c r="D71" t="inlineStr">
        <is>
          <t>BLEKINGE LÄN</t>
        </is>
      </c>
      <c r="E71" t="inlineStr">
        <is>
          <t>SÖLVESBORG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445-2024</t>
        </is>
      </c>
      <c r="B72" s="1" t="n">
        <v>45296</v>
      </c>
      <c r="C72" s="1" t="n">
        <v>45364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45364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45364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5407-2024</t>
        </is>
      </c>
      <c r="B75" s="1" t="n">
        <v>45331</v>
      </c>
      <c r="C75" s="1" t="n">
        <v>45364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8837-2024</t>
        </is>
      </c>
      <c r="B76" s="1" t="n">
        <v>45356</v>
      </c>
      <c r="C76" s="1" t="n">
        <v>45364</v>
      </c>
      <c r="D76" t="inlineStr">
        <is>
          <t>BLEKINGE LÄN</t>
        </is>
      </c>
      <c r="E76" t="inlineStr">
        <is>
          <t>SÖLVESBORG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9298-2024</t>
        </is>
      </c>
      <c r="B77" s="1" t="n">
        <v>45358</v>
      </c>
      <c r="C77" s="1" t="n">
        <v>45364</v>
      </c>
      <c r="D77" t="inlineStr">
        <is>
          <t>BLEKINGE LÄN</t>
        </is>
      </c>
      <c r="E77" t="inlineStr">
        <is>
          <t>SÖLVESBORG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9316-2024</t>
        </is>
      </c>
      <c r="B78" s="1" t="n">
        <v>45358</v>
      </c>
      <c r="C78" s="1" t="n">
        <v>45364</v>
      </c>
      <c r="D78" t="inlineStr">
        <is>
          <t>BLEKINGE LÄN</t>
        </is>
      </c>
      <c r="E78" t="inlineStr">
        <is>
          <t>SÖLVESBORG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2024-03-13T13:59:10Z</dcterms:created>
  <dcterms:modified xmlns:dcterms="http://purl.org/dc/terms/" xmlns:xsi="http://www.w3.org/2001/XMLSchema-instance" xsi:type="dcterms:W3CDTF">2024-03-13T13:59:10Z</dcterms:modified>
</cp:coreProperties>
</file>