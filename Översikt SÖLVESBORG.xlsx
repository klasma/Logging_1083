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46205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46205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46205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28478-2023</t>
        </is>
      </c>
      <c r="B5" s="1" t="n">
        <v>45103</v>
      </c>
      <c r="C5" s="1" t="n">
        <v>46205</v>
      </c>
      <c r="D5" t="inlineStr">
        <is>
          <t>BLEKINGE LÄN</t>
        </is>
      </c>
      <c r="E5" t="inlineStr">
        <is>
          <t>SÖLVESBORG</t>
        </is>
      </c>
      <c r="G5" t="n">
        <v>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Dvärgpipistrell</t>
        </is>
      </c>
      <c r="S5">
        <f>HYPERLINK("https://klasma.github.io/Logging_1083/artfynd/A 28478-2023 artfynd.xlsx", "A 28478-2023")</f>
        <v/>
      </c>
      <c r="T5">
        <f>HYPERLINK("https://klasma.github.io/Logging_1083/kartor/A 28478-2023 karta.png", "A 28478-2023")</f>
        <v/>
      </c>
      <c r="V5">
        <f>HYPERLINK("https://klasma.github.io/Logging_1083/klagomål/A 28478-2023 FSC-klagomål.docx", "A 28478-2023")</f>
        <v/>
      </c>
      <c r="W5">
        <f>HYPERLINK("https://klasma.github.io/Logging_1083/klagomålsmail/A 28478-2023 FSC-klagomål mail.docx", "A 28478-2023")</f>
        <v/>
      </c>
      <c r="X5">
        <f>HYPERLINK("https://klasma.github.io/Logging_1083/tillsyn/A 28478-2023 tillsynsbegäran.docx", "A 28478-2023")</f>
        <v/>
      </c>
      <c r="Y5">
        <f>HYPERLINK("https://klasma.github.io/Logging_1083/tillsynsmail/A 28478-2023 tillsynsbegäran mail.docx", "A 28478-2023")</f>
        <v/>
      </c>
    </row>
    <row r="6" ht="15" customHeight="1">
      <c r="A6" t="inlineStr">
        <is>
          <t>A 48309-2024</t>
        </is>
      </c>
      <c r="B6" s="1" t="n">
        <v>45590</v>
      </c>
      <c r="C6" s="1" t="n">
        <v>46205</v>
      </c>
      <c r="D6" t="inlineStr">
        <is>
          <t>BLEKINGE LÄN</t>
        </is>
      </c>
      <c r="E6" t="inlineStr">
        <is>
          <t>SÖLVESBORG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HYPERLINK("https://klasma.github.io/Logging_1083/artfynd/A 48309-2024 artfynd.xlsx", "A 48309-2024")</f>
        <v/>
      </c>
      <c r="T6">
        <f>HYPERLINK("https://klasma.github.io/Logging_1083/kartor/A 48309-2024 karta.png", "A 48309-2024")</f>
        <v/>
      </c>
      <c r="V6">
        <f>HYPERLINK("https://klasma.github.io/Logging_1083/klagomål/A 48309-2024 FSC-klagomål.docx", "A 48309-2024")</f>
        <v/>
      </c>
      <c r="W6">
        <f>HYPERLINK("https://klasma.github.io/Logging_1083/klagomålsmail/A 48309-2024 FSC-klagomål mail.docx", "A 48309-2024")</f>
        <v/>
      </c>
      <c r="X6">
        <f>HYPERLINK("https://klasma.github.io/Logging_1083/tillsyn/A 48309-2024 tillsynsbegäran.docx", "A 48309-2024")</f>
        <v/>
      </c>
      <c r="Y6">
        <f>HYPERLINK("https://klasma.github.io/Logging_1083/tillsynsmail/A 48309-2024 tillsynsbegäran mail.docx", "A 48309-2024")</f>
        <v/>
      </c>
    </row>
    <row r="7" ht="15" customHeight="1">
      <c r="A7" t="inlineStr">
        <is>
          <t>A 26455-2026</t>
        </is>
      </c>
      <c r="B7" s="1" t="n">
        <v>46183</v>
      </c>
      <c r="C7" s="1" t="n">
        <v>46205</v>
      </c>
      <c r="D7" t="inlineStr">
        <is>
          <t>BLEKINGE LÄN</t>
        </is>
      </c>
      <c r="E7" t="inlineStr">
        <is>
          <t>SÖLVESBORG</t>
        </is>
      </c>
      <c r="G7" t="n">
        <v>12.6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HYPERLINK("https://klasma.github.io/Logging_1083/artfynd/A 26455-2026 artfynd.xlsx", "A 26455-2026")</f>
        <v/>
      </c>
      <c r="T7">
        <f>HYPERLINK("https://klasma.github.io/Logging_1083/kartor/A 26455-2026 karta.png", "A 26455-2026")</f>
        <v/>
      </c>
      <c r="V7">
        <f>HYPERLINK("https://klasma.github.io/Logging_1083/klagomål/A 26455-2026 FSC-klagomål.docx", "A 26455-2026")</f>
        <v/>
      </c>
      <c r="W7">
        <f>HYPERLINK("https://klasma.github.io/Logging_1083/klagomålsmail/A 26455-2026 FSC-klagomål mail.docx", "A 26455-2026")</f>
        <v/>
      </c>
      <c r="X7">
        <f>HYPERLINK("https://klasma.github.io/Logging_1083/tillsyn/A 26455-2026 tillsynsbegäran.docx", "A 26455-2026")</f>
        <v/>
      </c>
      <c r="Y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s="1" t="n">
        <v>45331</v>
      </c>
      <c r="C8" s="1" t="n">
        <v>46205</v>
      </c>
      <c r="D8" t="inlineStr">
        <is>
          <t>BLEKINGE LÄN</t>
        </is>
      </c>
      <c r="E8" t="inlineStr">
        <is>
          <t>SÖLVESBORG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Kösa</t>
        </is>
      </c>
      <c r="S8">
        <f>HYPERLINK("https://klasma.github.io/Logging_1083/artfynd/A 5339-2024 artfynd.xlsx", "A 5339-2024")</f>
        <v/>
      </c>
      <c r="T8">
        <f>HYPERLINK("https://klasma.github.io/Logging_1083/kartor/A 5339-2024 karta.png", "A 5339-2024")</f>
        <v/>
      </c>
      <c r="V8">
        <f>HYPERLINK("https://klasma.github.io/Logging_1083/klagomål/A 5339-2024 FSC-klagomål.docx", "A 5339-2024")</f>
        <v/>
      </c>
      <c r="W8">
        <f>HYPERLINK("https://klasma.github.io/Logging_1083/klagomålsmail/A 5339-2024 FSC-klagomål mail.docx", "A 5339-2024")</f>
        <v/>
      </c>
      <c r="X8">
        <f>HYPERLINK("https://klasma.github.io/Logging_1083/tillsyn/A 5339-2024 tillsynsbegäran.docx", "A 5339-2024")</f>
        <v/>
      </c>
      <c r="Y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s="1" t="n">
        <v>45358</v>
      </c>
      <c r="C9" s="1" t="n">
        <v>46205</v>
      </c>
      <c r="D9" t="inlineStr">
        <is>
          <t>BLEKINGE LÄN</t>
        </is>
      </c>
      <c r="E9" t="inlineStr">
        <is>
          <t>SÖLVESBORG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Gröngöling</t>
        </is>
      </c>
      <c r="S9">
        <f>HYPERLINK("https://klasma.github.io/Logging_1083/artfynd/A 9316-2024 artfynd.xlsx", "A 9316-2024")</f>
        <v/>
      </c>
      <c r="T9">
        <f>HYPERLINK("https://klasma.github.io/Logging_1083/kartor/A 9316-2024 karta.png", "A 9316-2024")</f>
        <v/>
      </c>
      <c r="V9">
        <f>HYPERLINK("https://klasma.github.io/Logging_1083/klagomål/A 9316-2024 FSC-klagomål.docx", "A 9316-2024")</f>
        <v/>
      </c>
      <c r="W9">
        <f>HYPERLINK("https://klasma.github.io/Logging_1083/klagomålsmail/A 9316-2024 FSC-klagomål mail.docx", "A 9316-2024")</f>
        <v/>
      </c>
      <c r="X9">
        <f>HYPERLINK("https://klasma.github.io/Logging_1083/tillsyn/A 9316-2024 tillsynsbegäran.docx", "A 9316-2024")</f>
        <v/>
      </c>
      <c r="Y9">
        <f>HYPERLINK("https://klasma.github.io/Logging_1083/tillsynsmail/A 9316-2024 tillsynsbegäran mail.docx", "A 9316-2024")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46205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46205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46205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46205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46205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52084-2023</t>
        </is>
      </c>
      <c r="B15" s="1" t="n">
        <v>45216</v>
      </c>
      <c r="C15" s="1" t="n">
        <v>46205</v>
      </c>
      <c r="D15" t="inlineStr">
        <is>
          <t>BLEKINGE LÄN</t>
        </is>
      </c>
      <c r="E15" t="inlineStr">
        <is>
          <t>SÖLVESBORG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14481-2025</t>
        </is>
      </c>
      <c r="B16" s="1" t="n">
        <v>45741</v>
      </c>
      <c r="C16" s="1" t="n">
        <v>46205</v>
      </c>
      <c r="D16" t="inlineStr">
        <is>
          <t>BLEKINGE LÄN</t>
        </is>
      </c>
      <c r="E16" t="inlineStr">
        <is>
          <t>SÖLVESBORG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38406-2025</t>
        </is>
      </c>
      <c r="B17" s="1" t="n">
        <v>45883</v>
      </c>
      <c r="C17" s="1" t="n">
        <v>46205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27402-2025</t>
        </is>
      </c>
      <c r="B18" s="1" t="n">
        <v>45812</v>
      </c>
      <c r="C18" s="1" t="n">
        <v>46205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12298-2022</t>
        </is>
      </c>
      <c r="B19" s="1" t="n">
        <v>44641</v>
      </c>
      <c r="C19" s="1" t="n">
        <v>46205</v>
      </c>
      <c r="D19" t="inlineStr">
        <is>
          <t>BLEKINGE LÄN</t>
        </is>
      </c>
      <c r="E19" t="inlineStr">
        <is>
          <t>SÖLVESBORG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22906-2024</t>
        </is>
      </c>
      <c r="B20" s="1" t="n">
        <v>45448</v>
      </c>
      <c r="C20" s="1" t="n">
        <v>46205</v>
      </c>
      <c r="D20" t="inlineStr">
        <is>
          <t>BLEKINGE LÄN</t>
        </is>
      </c>
      <c r="E20" t="inlineStr">
        <is>
          <t>SÖLVESBORG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10390-2024</t>
        </is>
      </c>
      <c r="B21" s="1" t="n">
        <v>45365</v>
      </c>
      <c r="C21" s="1" t="n">
        <v>46205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</v>
      </c>
      <c r="C22" s="1" t="n">
        <v>46205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</v>
      </c>
      <c r="C23" s="1" t="n">
        <v>46205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32514-2025</t>
        </is>
      </c>
      <c r="B24" s="1" t="n">
        <v>45838</v>
      </c>
      <c r="C24" s="1" t="n">
        <v>46205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32436-2025</t>
        </is>
      </c>
      <c r="B25" s="1" t="n">
        <v>45838</v>
      </c>
      <c r="C25" s="1" t="n">
        <v>46205</v>
      </c>
      <c r="D25" t="inlineStr">
        <is>
          <t>BLEKINGE LÄN</t>
        </is>
      </c>
      <c r="E25" t="inlineStr">
        <is>
          <t>SÖLVESBORG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44495-2025</t>
        </is>
      </c>
      <c r="B26" s="1" t="n">
        <v>45916</v>
      </c>
      <c r="C26" s="1" t="n">
        <v>46205</v>
      </c>
      <c r="D26" t="inlineStr">
        <is>
          <t>BLEKINGE LÄN</t>
        </is>
      </c>
      <c r="E26" t="inlineStr">
        <is>
          <t>SÖLVESBORG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44493-2025</t>
        </is>
      </c>
      <c r="B27" s="1" t="n">
        <v>45916</v>
      </c>
      <c r="C27" s="1" t="n">
        <v>46205</v>
      </c>
      <c r="D27" t="inlineStr">
        <is>
          <t>BLEKINGE LÄN</t>
        </is>
      </c>
      <c r="E27" t="inlineStr">
        <is>
          <t>SÖLVESBORG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16188-2022</t>
        </is>
      </c>
      <c r="B28" s="1" t="n">
        <v>44669</v>
      </c>
      <c r="C28" s="1" t="n">
        <v>46205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12848-2022</t>
        </is>
      </c>
      <c r="B29" s="1" t="n">
        <v>44642</v>
      </c>
      <c r="C29" s="1" t="n">
        <v>46205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14136-2025</t>
        </is>
      </c>
      <c r="B30" s="1" t="n">
        <v>45738</v>
      </c>
      <c r="C30" s="1" t="n">
        <v>46205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16297-2022</t>
        </is>
      </c>
      <c r="B31" s="1" t="n">
        <v>44670</v>
      </c>
      <c r="C31" s="1" t="n">
        <v>46205</v>
      </c>
      <c r="D31" t="inlineStr">
        <is>
          <t>BLEKINGE LÄN</t>
        </is>
      </c>
      <c r="E31" t="inlineStr">
        <is>
          <t>SÖLVESBORG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63571-2023</t>
        </is>
      </c>
      <c r="B32" s="1" t="n">
        <v>45275</v>
      </c>
      <c r="C32" s="1" t="n">
        <v>46205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26478-2023</t>
        </is>
      </c>
      <c r="B33" s="1" t="n">
        <v>45092</v>
      </c>
      <c r="C33" s="1" t="n">
        <v>46205</v>
      </c>
      <c r="D33" t="inlineStr">
        <is>
          <t>BLEKINGE LÄN</t>
        </is>
      </c>
      <c r="E33" t="inlineStr">
        <is>
          <t>SÖLVESBORG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28080-2023</t>
        </is>
      </c>
      <c r="B34" s="1" t="n">
        <v>45099</v>
      </c>
      <c r="C34" s="1" t="n">
        <v>46205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52893-2025</t>
        </is>
      </c>
      <c r="B35" s="1" t="n">
        <v>45957</v>
      </c>
      <c r="C35" s="1" t="n">
        <v>46205</v>
      </c>
      <c r="D35" t="inlineStr">
        <is>
          <t>BLEKINGE LÄN</t>
        </is>
      </c>
      <c r="E35" t="inlineStr">
        <is>
          <t>SÖLVESBORG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49688-2025</t>
        </is>
      </c>
      <c r="B36" s="1" t="n">
        <v>45939</v>
      </c>
      <c r="C36" s="1" t="n">
        <v>46205</v>
      </c>
      <c r="D36" t="inlineStr">
        <is>
          <t>BLEKINGE LÄN</t>
        </is>
      </c>
      <c r="E36" t="inlineStr">
        <is>
          <t>SÖLVESBORG</t>
        </is>
      </c>
      <c r="G36" t="n">
        <v>16.1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62334-2023</t>
        </is>
      </c>
      <c r="B37" s="1" t="n">
        <v>45266</v>
      </c>
      <c r="C37" s="1" t="n">
        <v>46205</v>
      </c>
      <c r="D37" t="inlineStr">
        <is>
          <t>BLEKINGE LÄN</t>
        </is>
      </c>
      <c r="E37" t="inlineStr">
        <is>
          <t>SÖLVESBORG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48751-2025</t>
        </is>
      </c>
      <c r="B38" s="1" t="n">
        <v>45936</v>
      </c>
      <c r="C38" s="1" t="n">
        <v>46205</v>
      </c>
      <c r="D38" t="inlineStr">
        <is>
          <t>BLEKINGE LÄN</t>
        </is>
      </c>
      <c r="E38" t="inlineStr">
        <is>
          <t>SÖLVESBORG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34727-2021</t>
        </is>
      </c>
      <c r="B39" s="1" t="n">
        <v>44382</v>
      </c>
      <c r="C39" s="1" t="n">
        <v>46205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20127-2025</t>
        </is>
      </c>
      <c r="B40" s="1" t="n">
        <v>45772</v>
      </c>
      <c r="C40" s="1" t="n">
        <v>46205</v>
      </c>
      <c r="D40" t="inlineStr">
        <is>
          <t>BLEKINGE LÄN</t>
        </is>
      </c>
      <c r="E40" t="inlineStr">
        <is>
          <t>SÖLVESBORG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20093-2025</t>
        </is>
      </c>
      <c r="B41" s="1" t="n">
        <v>45772</v>
      </c>
      <c r="C41" s="1" t="n">
        <v>46205</v>
      </c>
      <c r="D41" t="inlineStr">
        <is>
          <t>BLEKINGE LÄN</t>
        </is>
      </c>
      <c r="E41" t="inlineStr">
        <is>
          <t>SÖLVESBORG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20155-2025</t>
        </is>
      </c>
      <c r="B42" s="1" t="n">
        <v>45772</v>
      </c>
      <c r="C42" s="1" t="n">
        <v>46205</v>
      </c>
      <c r="D42" t="inlineStr">
        <is>
          <t>BLEKINGE LÄN</t>
        </is>
      </c>
      <c r="E42" t="inlineStr">
        <is>
          <t>SÖLVESBORG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46500-2023</t>
        </is>
      </c>
      <c r="B43" s="1" t="n">
        <v>45197</v>
      </c>
      <c r="C43" s="1" t="n">
        <v>46205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33766-2024</t>
        </is>
      </c>
      <c r="B44" s="1" t="n">
        <v>45520</v>
      </c>
      <c r="C44" s="1" t="n">
        <v>46205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39130-2024</t>
        </is>
      </c>
      <c r="B45" s="1" t="n">
        <v>45548</v>
      </c>
      <c r="C45" s="1" t="n">
        <v>46205</v>
      </c>
      <c r="D45" t="inlineStr">
        <is>
          <t>BLEKINGE LÄN</t>
        </is>
      </c>
      <c r="E45" t="inlineStr">
        <is>
          <t>SÖLVESBORG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11528-2026</t>
        </is>
      </c>
      <c r="B46" s="1" t="n">
        <v>46083</v>
      </c>
      <c r="C46" s="1" t="n">
        <v>46205</v>
      </c>
      <c r="D46" t="inlineStr">
        <is>
          <t>BLEKINGE LÄN</t>
        </is>
      </c>
      <c r="E46" t="inlineStr">
        <is>
          <t>SÖLVESBORG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26493-2023</t>
        </is>
      </c>
      <c r="B47" s="1" t="n">
        <v>45092</v>
      </c>
      <c r="C47" s="1" t="n">
        <v>46205</v>
      </c>
      <c r="D47" t="inlineStr">
        <is>
          <t>BLEKINGE LÄN</t>
        </is>
      </c>
      <c r="E47" t="inlineStr">
        <is>
          <t>SÖLVESBORG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7134-2023</t>
        </is>
      </c>
      <c r="B48" s="1" t="n">
        <v>44970</v>
      </c>
      <c r="C48" s="1" t="n">
        <v>46205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52086-2023</t>
        </is>
      </c>
      <c r="B49" s="1" t="n">
        <v>45216</v>
      </c>
      <c r="C49" s="1" t="n">
        <v>46205</v>
      </c>
      <c r="D49" t="inlineStr">
        <is>
          <t>BLEKINGE LÄN</t>
        </is>
      </c>
      <c r="E49" t="inlineStr">
        <is>
          <t>SÖLVESBORG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19827-2024</t>
        </is>
      </c>
      <c r="B50" s="1" t="n">
        <v>45433</v>
      </c>
      <c r="C50" s="1" t="n">
        <v>46205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1070-2022</t>
        </is>
      </c>
      <c r="B51" s="1" t="n">
        <v>44571</v>
      </c>
      <c r="C51" s="1" t="n">
        <v>46205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33742-2024</t>
        </is>
      </c>
      <c r="B52" s="1" t="n">
        <v>45520</v>
      </c>
      <c r="C52" s="1" t="n">
        <v>46205</v>
      </c>
      <c r="D52" t="inlineStr">
        <is>
          <t>BLEKINGE LÄN</t>
        </is>
      </c>
      <c r="E52" t="inlineStr">
        <is>
          <t>SÖLVESBORG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</v>
      </c>
      <c r="C53" s="1" t="n">
        <v>46205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2200-2025</t>
        </is>
      </c>
      <c r="B54" s="1" t="n">
        <v>45673</v>
      </c>
      <c r="C54" s="1" t="n">
        <v>46205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2210-2025</t>
        </is>
      </c>
      <c r="B55" s="1" t="n">
        <v>45673</v>
      </c>
      <c r="C55" s="1" t="n">
        <v>46205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44871-2023</t>
        </is>
      </c>
      <c r="B56" s="1" t="n">
        <v>45190</v>
      </c>
      <c r="C56" s="1" t="n">
        <v>46205</v>
      </c>
      <c r="D56" t="inlineStr">
        <is>
          <t>BLEKINGE LÄN</t>
        </is>
      </c>
      <c r="E56" t="inlineStr">
        <is>
          <t>SÖLVESBORG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46205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8130-2025</t>
        </is>
      </c>
      <c r="B58" s="1" t="n">
        <v>45707</v>
      </c>
      <c r="C58" s="1" t="n">
        <v>46205</v>
      </c>
      <c r="D58" t="inlineStr">
        <is>
          <t>BLEKINGE LÄN</t>
        </is>
      </c>
      <c r="E58" t="inlineStr">
        <is>
          <t>SÖLVESBORG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38317-2025</t>
        </is>
      </c>
      <c r="B59" s="1" t="n">
        <v>45883</v>
      </c>
      <c r="C59" s="1" t="n">
        <v>46205</v>
      </c>
      <c r="D59" t="inlineStr">
        <is>
          <t>BLEKINGE LÄN</t>
        </is>
      </c>
      <c r="E59" t="inlineStr">
        <is>
          <t>SÖLVESBORG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30992-2022</t>
        </is>
      </c>
      <c r="B60" s="1" t="n">
        <v>44768</v>
      </c>
      <c r="C60" s="1" t="n">
        <v>46205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66447-2021</t>
        </is>
      </c>
      <c r="B61" s="1" t="n">
        <v>44518</v>
      </c>
      <c r="C61" s="1" t="n">
        <v>46205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46205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26744-2026</t>
        </is>
      </c>
      <c r="B63" s="1" t="n">
        <v>46184</v>
      </c>
      <c r="C63" s="1" t="n">
        <v>46205</v>
      </c>
      <c r="D63" t="inlineStr">
        <is>
          <t>BLEKINGE LÄN</t>
        </is>
      </c>
      <c r="E63" t="inlineStr">
        <is>
          <t>SÖLVESBORG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2327-2025</t>
        </is>
      </c>
      <c r="B64" s="1" t="n">
        <v>45673</v>
      </c>
      <c r="C64" s="1" t="n">
        <v>46205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2325-2025</t>
        </is>
      </c>
      <c r="B65" s="1" t="n">
        <v>45673</v>
      </c>
      <c r="C65" s="1" t="n">
        <v>46205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27151-2026</t>
        </is>
      </c>
      <c r="B66" s="1" t="n">
        <v>46188</v>
      </c>
      <c r="C66" s="1" t="n">
        <v>46205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5407-2024</t>
        </is>
      </c>
      <c r="B67" s="1" t="n">
        <v>45331</v>
      </c>
      <c r="C67" s="1" t="n">
        <v>46205</v>
      </c>
      <c r="D67" t="inlineStr">
        <is>
          <t>BLEKINGE LÄN</t>
        </is>
      </c>
      <c r="E67" t="inlineStr">
        <is>
          <t>SÖLVESBORG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10403-2022</t>
        </is>
      </c>
      <c r="B68" s="1" t="n">
        <v>44623</v>
      </c>
      <c r="C68" s="1" t="n">
        <v>46205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46205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2832-2023</t>
        </is>
      </c>
      <c r="B70" s="1" t="n">
        <v>44945</v>
      </c>
      <c r="C70" s="1" t="n">
        <v>46205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28082-2026</t>
        </is>
      </c>
      <c r="B71" s="1" t="n">
        <v>46195</v>
      </c>
      <c r="C71" s="1" t="n">
        <v>46205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20164-2023</t>
        </is>
      </c>
      <c r="B72" s="1" t="n">
        <v>45053</v>
      </c>
      <c r="C72" s="1" t="n">
        <v>46205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33817-2025</t>
        </is>
      </c>
      <c r="B73" s="1" t="n">
        <v>45842</v>
      </c>
      <c r="C73" s="1" t="n">
        <v>46205</v>
      </c>
      <c r="D73" t="inlineStr">
        <is>
          <t>BLEKINGE LÄN</t>
        </is>
      </c>
      <c r="E73" t="inlineStr">
        <is>
          <t>SÖLVESBORG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61767-2022</t>
        </is>
      </c>
      <c r="B74" s="1" t="n">
        <v>44917</v>
      </c>
      <c r="C74" s="1" t="n">
        <v>46205</v>
      </c>
      <c r="D74" t="inlineStr">
        <is>
          <t>BLEKINGE LÄN</t>
        </is>
      </c>
      <c r="E74" t="inlineStr">
        <is>
          <t>SÖLVESBORG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46205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60469-2023</t>
        </is>
      </c>
      <c r="B76" s="1" t="n">
        <v>45258</v>
      </c>
      <c r="C76" s="1" t="n">
        <v>46205</v>
      </c>
      <c r="D76" t="inlineStr">
        <is>
          <t>BLEKINGE LÄN</t>
        </is>
      </c>
      <c r="E76" t="inlineStr">
        <is>
          <t>SÖLVESBORG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44752-2023</t>
        </is>
      </c>
      <c r="B77" s="1" t="n">
        <v>45184</v>
      </c>
      <c r="C77" s="1" t="n">
        <v>46205</v>
      </c>
      <c r="D77" t="inlineStr">
        <is>
          <t>BLEKINGE LÄN</t>
        </is>
      </c>
      <c r="E77" t="inlineStr">
        <is>
          <t>SÖLVESBORG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51284-2023</t>
        </is>
      </c>
      <c r="B78" s="1" t="n">
        <v>45219</v>
      </c>
      <c r="C78" s="1" t="n">
        <v>46205</v>
      </c>
      <c r="D78" t="inlineStr">
        <is>
          <t>BLEKINGE LÄN</t>
        </is>
      </c>
      <c r="E78" t="inlineStr">
        <is>
          <t>SÖLVESBORG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2089-2024</t>
        </is>
      </c>
      <c r="B79" s="1" t="n">
        <v>45309</v>
      </c>
      <c r="C79" s="1" t="n">
        <v>46205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34394-2024</t>
        </is>
      </c>
      <c r="B80" s="1" t="n">
        <v>45525</v>
      </c>
      <c r="C80" s="1" t="n">
        <v>46205</v>
      </c>
      <c r="D80" t="inlineStr">
        <is>
          <t>BLEKINGE LÄN</t>
        </is>
      </c>
      <c r="E80" t="inlineStr">
        <is>
          <t>SÖLVESBORG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21464-2025</t>
        </is>
      </c>
      <c r="B81" s="1" t="n">
        <v>45782</v>
      </c>
      <c r="C81" s="1" t="n">
        <v>46205</v>
      </c>
      <c r="D81" t="inlineStr">
        <is>
          <t>BLEKINGE LÄN</t>
        </is>
      </c>
      <c r="E81" t="inlineStr">
        <is>
          <t>SÖLVESBORG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14475-2025</t>
        </is>
      </c>
      <c r="B82" s="1" t="n">
        <v>45741</v>
      </c>
      <c r="C82" s="1" t="n">
        <v>46205</v>
      </c>
      <c r="D82" t="inlineStr">
        <is>
          <t>BLEKINGE LÄN</t>
        </is>
      </c>
      <c r="E82" t="inlineStr">
        <is>
          <t>SÖLVESBORG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445-2024</t>
        </is>
      </c>
      <c r="B83" s="1" t="n">
        <v>45296</v>
      </c>
      <c r="C83" s="1" t="n">
        <v>46205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10997-2024</t>
        </is>
      </c>
      <c r="B84" s="1" t="n">
        <v>45370</v>
      </c>
      <c r="C84" s="1" t="n">
        <v>46205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2026-07-02T01:01:39Z</dcterms:created>
  <dcterms:modified xmlns:dcterms="http://purl.org/dc/terms/" xmlns:xsi="http://www.w3.org/2001/XMLSchema-instance" xsi:type="dcterms:W3CDTF">2026-07-02T01:01:39Z</dcterms:modified>
</cp:coreProperties>
</file>