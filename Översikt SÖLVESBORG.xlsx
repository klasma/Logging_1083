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46216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46216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46216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46216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46216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46216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Kösa</t>
        </is>
      </c>
      <c r="V7">
        <f>HYPERLINK("https://klasma.github.io/Logging_1083/artfynd/A 5339-2024 artfynd.xlsx", "A 5339-2024")</f>
        <v/>
      </c>
      <c r="W7">
        <f>HYPERLINK("https://klasma.github.io/Logging_1083/kartor/A 5339-2024 karta.png", "A 5339-2024")</f>
        <v/>
      </c>
      <c r="Y7">
        <f>HYPERLINK("https://klasma.github.io/Logging_1083/klagomål/A 5339-2024 FSC-klagomål.docx", "A 5339-2024")</f>
        <v/>
      </c>
      <c r="Z7">
        <f>HYPERLINK("https://klasma.github.io/Logging_1083/klagomålsmail/A 5339-2024 FSC-klagomål mail.docx", "A 5339-2024")</f>
        <v/>
      </c>
      <c r="AA7">
        <f>HYPERLINK("https://klasma.github.io/Logging_1083/tillsyn/A 5339-2024 tillsynsbegäran.docx", "A 5339-2024")</f>
        <v/>
      </c>
      <c r="AB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46216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Gröngöling</t>
        </is>
      </c>
      <c r="V8">
        <f>HYPERLINK("https://klasma.github.io/Logging_1083/artfynd/A 9316-2024 artfynd.xlsx", "A 9316-2024")</f>
        <v/>
      </c>
      <c r="W8">
        <f>HYPERLINK("https://klasma.github.io/Logging_1083/kartor/A 9316-2024 karta.png", "A 9316-2024")</f>
        <v/>
      </c>
      <c r="Y8">
        <f>HYPERLINK("https://klasma.github.io/Logging_1083/klagomål/A 9316-2024 FSC-klagomål.docx", "A 9316-2024")</f>
        <v/>
      </c>
      <c r="Z8">
        <f>HYPERLINK("https://klasma.github.io/Logging_1083/klagomålsmail/A 9316-2024 FSC-klagomål mail.docx", "A 9316-2024")</f>
        <v/>
      </c>
      <c r="AA8">
        <f>HYPERLINK("https://klasma.github.io/Logging_1083/tillsyn/A 9316-2024 tillsynsbegäran.docx", "A 9316-2024")</f>
        <v/>
      </c>
      <c r="AB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46216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HYPERLINK("https://klasma.github.io/Logging_1083/artfynd/A 26455-2026 artfynd.xlsx", "A 26455-2026")</f>
        <v/>
      </c>
      <c r="W9">
        <f>HYPERLINK("https://klasma.github.io/Logging_1083/kartor/A 26455-2026 karta.png", "A 26455-2026")</f>
        <v/>
      </c>
      <c r="Y9">
        <f>HYPERLINK("https://klasma.github.io/Logging_1083/klagomål/A 26455-2026 FSC-klagomål.docx", "A 26455-2026")</f>
        <v/>
      </c>
      <c r="Z9">
        <f>HYPERLINK("https://klasma.github.io/Logging_1083/klagomålsmail/A 26455-2026 FSC-klagomål mail.docx", "A 26455-2026")</f>
        <v/>
      </c>
      <c r="AA9">
        <f>HYPERLINK("https://klasma.github.io/Logging_1083/tillsyn/A 26455-2026 tillsynsbegäran.docx", "A 26455-2026")</f>
        <v/>
      </c>
      <c r="AB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46216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Dvärgpipistrell</t>
        </is>
      </c>
      <c r="V10">
        <f>HYPERLINK("https://klasma.github.io/Logging_1083/artfynd/A 28478-2023 artfynd.xlsx", "A 28478-2023")</f>
        <v/>
      </c>
      <c r="W10">
        <f>HYPERLINK("https://klasma.github.io/Logging_1083/kartor/A 28478-2023 karta.png", "A 28478-2023")</f>
        <v/>
      </c>
      <c r="Y10">
        <f>HYPERLINK("https://klasma.github.io/Logging_1083/klagomål/A 28478-2023 FSC-klagomål.docx", "A 28478-2023")</f>
        <v/>
      </c>
      <c r="Z10">
        <f>HYPERLINK("https://klasma.github.io/Logging_1083/klagomålsmail/A 28478-2023 FSC-klagomål mail.docx", "A 28478-2023")</f>
        <v/>
      </c>
      <c r="AA10">
        <f>HYPERLINK("https://klasma.github.io/Logging_1083/tillsyn/A 28478-2023 tillsynsbegäran.docx", "A 28478-2023")</f>
        <v/>
      </c>
      <c r="AB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46216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HYPERLINK("https://klasma.github.io/Logging_1083/artfynd/A 48309-2024 artfynd.xlsx", "A 48309-2024")</f>
        <v/>
      </c>
      <c r="W11">
        <f>HYPERLINK("https://klasma.github.io/Logging_1083/kartor/A 48309-2024 karta.png", "A 48309-2024")</f>
        <v/>
      </c>
      <c r="Y11">
        <f>HYPERLINK("https://klasma.github.io/Logging_1083/klagomål/A 48309-2024 FSC-klagomål.docx", "A 48309-2024")</f>
        <v/>
      </c>
      <c r="Z11">
        <f>HYPERLINK("https://klasma.github.io/Logging_1083/klagomålsmail/A 48309-2024 FSC-klagomål mail.docx", "A 48309-2024")</f>
        <v/>
      </c>
      <c r="AA11">
        <f>HYPERLINK("https://klasma.github.io/Logging_1083/tillsyn/A 48309-2024 tillsynsbegäran.docx", "A 48309-2024")</f>
        <v/>
      </c>
      <c r="AB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46216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46216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46216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46216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46216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46216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46216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46216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46216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46216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46216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46216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44871-2023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46216</v>
      </c>
      <c r="F25" t="inlineStr">
        <is>
          <t>BLEKINGE LÄN</t>
        </is>
      </c>
      <c r="G25" t="inlineStr">
        <is>
          <t>SÖLVESBORG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46216</v>
      </c>
      <c r="F26" t="inlineStr">
        <is>
          <t>BLEKINGE LÄN</t>
        </is>
      </c>
      <c r="G26" t="inlineStr">
        <is>
          <t>SÖLVESBORG</t>
        </is>
      </c>
      <c r="I26" t="n">
        <v>8.1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46216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46216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45053</v>
      </c>
      <c r="E29" s="1" t="n">
        <v>46216</v>
      </c>
      <c r="F29" t="inlineStr">
        <is>
          <t>BLEKINGE LÄN</t>
        </is>
      </c>
      <c r="G29" t="inlineStr">
        <is>
          <t>SÖLVESBORG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32436-2025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46216</v>
      </c>
      <c r="F30" t="inlineStr">
        <is>
          <t>BLEKINGE LÄN</t>
        </is>
      </c>
      <c r="G30" t="inlineStr">
        <is>
          <t>SÖLVESBORG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44493-2025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46216</v>
      </c>
      <c r="F31" t="inlineStr">
        <is>
          <t>BLEKINGE LÄN</t>
        </is>
      </c>
      <c r="G31" t="inlineStr">
        <is>
          <t>SÖLVESBORG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32514-2025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46216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46216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45184</v>
      </c>
      <c r="E34" s="1" t="n">
        <v>46216</v>
      </c>
      <c r="F34" t="inlineStr">
        <is>
          <t>BLEKINGE LÄN</t>
        </is>
      </c>
      <c r="G34" t="inlineStr">
        <is>
          <t>SÖLVESBORG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46216</v>
      </c>
      <c r="F35" t="inlineStr">
        <is>
          <t>BLEKINGE LÄN</t>
        </is>
      </c>
      <c r="G35" t="inlineStr">
        <is>
          <t>SÖLVESBORG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46216</v>
      </c>
      <c r="F36" t="inlineStr">
        <is>
          <t>BLEKINGE LÄN</t>
        </is>
      </c>
      <c r="G36" t="inlineStr">
        <is>
          <t>SÖLVESBORG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45883</v>
      </c>
      <c r="E37" s="1" t="n">
        <v>46216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46216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34394-2024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46216</v>
      </c>
      <c r="F39" t="inlineStr">
        <is>
          <t>BLEKINGE LÄN</t>
        </is>
      </c>
      <c r="G39" t="inlineStr">
        <is>
          <t>SÖLVESBORG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12298-2022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44641</v>
      </c>
      <c r="E40" s="1" t="n">
        <v>46216</v>
      </c>
      <c r="F40" t="inlineStr">
        <is>
          <t>BLEKINGE LÄN</t>
        </is>
      </c>
      <c r="G40" t="inlineStr">
        <is>
          <t>SÖLVESBORG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52893-2025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45957</v>
      </c>
      <c r="E41" s="1" t="n">
        <v>46216</v>
      </c>
      <c r="F41" t="inlineStr">
        <is>
          <t>BLEKINGE LÄN</t>
        </is>
      </c>
      <c r="G41" t="inlineStr">
        <is>
          <t>SÖLVESBORG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45331</v>
      </c>
      <c r="E42" s="1" t="n">
        <v>46216</v>
      </c>
      <c r="F42" t="inlineStr">
        <is>
          <t>BLEKINGE LÄN</t>
        </is>
      </c>
      <c r="G42" t="inlineStr">
        <is>
          <t>SÖLVESBORG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49688-2025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45939</v>
      </c>
      <c r="E43" s="1" t="n">
        <v>46216</v>
      </c>
      <c r="F43" t="inlineStr">
        <is>
          <t>BLEKINGE LÄN</t>
        </is>
      </c>
      <c r="G43" t="inlineStr">
        <is>
          <t>SÖLVESBORG</t>
        </is>
      </c>
      <c r="I43" t="n">
        <v>16.1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47242-2023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46216</v>
      </c>
      <c r="F44" t="inlineStr">
        <is>
          <t>BLEKINGE LÄN</t>
        </is>
      </c>
      <c r="G44" t="inlineStr">
        <is>
          <t>SÖLVESBORG</t>
        </is>
      </c>
      <c r="I44" t="n">
        <v>11.6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30992-2022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46216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10390-2024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46216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48751-2025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46216</v>
      </c>
      <c r="F47" t="inlineStr">
        <is>
          <t>BLEKINGE LÄN</t>
        </is>
      </c>
      <c r="G47" t="inlineStr">
        <is>
          <t>SÖLVESBORG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46216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46216</v>
      </c>
      <c r="F49" t="inlineStr">
        <is>
          <t>BLEKINGE LÄN</t>
        </is>
      </c>
      <c r="G49" t="inlineStr">
        <is>
          <t>SÖLVESBORG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46216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46216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46216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46216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11528-2026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46083</v>
      </c>
      <c r="E54" s="1" t="n">
        <v>46216</v>
      </c>
      <c r="F54" t="inlineStr">
        <is>
          <t>BLEKINGE LÄN</t>
        </is>
      </c>
      <c r="G54" t="inlineStr">
        <is>
          <t>SÖLVESBORG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46216</v>
      </c>
      <c r="F55" t="inlineStr">
        <is>
          <t>BLEKINGE LÄN</t>
        </is>
      </c>
      <c r="G55" t="inlineStr">
        <is>
          <t>SÖLVESBORG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14481-2025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45741</v>
      </c>
      <c r="E56" s="1" t="n">
        <v>46216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44669</v>
      </c>
      <c r="E57" s="1" t="n">
        <v>46216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46216</v>
      </c>
      <c r="F58" t="inlineStr">
        <is>
          <t>BLEKINGE LÄN</t>
        </is>
      </c>
      <c r="G58" t="inlineStr">
        <is>
          <t>SÖLVESBORG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46216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46216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46216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39130-2024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46216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46216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33766-2024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46216</v>
      </c>
      <c r="F64" t="inlineStr">
        <is>
          <t>BLEKINGE LÄN</t>
        </is>
      </c>
      <c r="G64" t="inlineStr">
        <is>
          <t>SÖLVESBORG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38317-2025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46216</v>
      </c>
      <c r="F65" t="inlineStr">
        <is>
          <t>BLEKINGE LÄN</t>
        </is>
      </c>
      <c r="G65" t="inlineStr">
        <is>
          <t>SÖLVESBORG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46216</v>
      </c>
      <c r="F66" t="inlineStr">
        <is>
          <t>BLEKINGE LÄN</t>
        </is>
      </c>
      <c r="G66" t="inlineStr">
        <is>
          <t>SÖLVESBORG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46216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46216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46216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46216</v>
      </c>
      <c r="F70" t="inlineStr">
        <is>
          <t>BLEKINGE LÄN</t>
        </is>
      </c>
      <c r="G70" t="inlineStr">
        <is>
          <t>SÖLVESBORG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33817-2025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45842</v>
      </c>
      <c r="E71" s="1" t="n">
        <v>46216</v>
      </c>
      <c r="F71" t="inlineStr">
        <is>
          <t>BLEKINGE LÄN</t>
        </is>
      </c>
      <c r="G71" t="inlineStr">
        <is>
          <t>SÖLVESBORG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46216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46216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62334-2023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46216</v>
      </c>
      <c r="F74" t="inlineStr">
        <is>
          <t>BLEKINGE LÄN</t>
        </is>
      </c>
      <c r="G74" t="inlineStr">
        <is>
          <t>SÖLVESBORG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26493-2023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46216</v>
      </c>
      <c r="F75" t="inlineStr">
        <is>
          <t>BLEKINGE LÄN</t>
        </is>
      </c>
      <c r="G75" t="inlineStr">
        <is>
          <t>SÖLVESBORG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22561-2023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46216</v>
      </c>
      <c r="F76" t="inlineStr">
        <is>
          <t>BLEKINGE LÄN</t>
        </is>
      </c>
      <c r="G76" t="inlineStr">
        <is>
          <t>SÖLVESBORG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8130-2025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45707</v>
      </c>
      <c r="E77" s="1" t="n">
        <v>46216</v>
      </c>
      <c r="F77" t="inlineStr">
        <is>
          <t>BLEKINGE LÄN</t>
        </is>
      </c>
      <c r="G77" t="inlineStr">
        <is>
          <t>SÖLVESBORG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26478-2023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46216</v>
      </c>
      <c r="F78" t="inlineStr">
        <is>
          <t>BLEKINGE LÄN</t>
        </is>
      </c>
      <c r="G78" t="inlineStr">
        <is>
          <t>SÖLVESBORG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46216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9602-2023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44983</v>
      </c>
      <c r="E80" s="1" t="n">
        <v>46216</v>
      </c>
      <c r="F80" t="inlineStr">
        <is>
          <t>BLEKINGE LÄN</t>
        </is>
      </c>
      <c r="G80" t="inlineStr">
        <is>
          <t>SÖLVESBORG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16297-2022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46216</v>
      </c>
      <c r="F81" t="inlineStr">
        <is>
          <t>BLEKINGE LÄN</t>
        </is>
      </c>
      <c r="G81" t="inlineStr">
        <is>
          <t>SÖLVESBORG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33742-2024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46216</v>
      </c>
      <c r="F82" t="inlineStr">
        <is>
          <t>BLEKINGE LÄN</t>
        </is>
      </c>
      <c r="G82" t="inlineStr">
        <is>
          <t>SÖLVESBORG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46216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46216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46216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46216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46216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46216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46216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46216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46216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2026-07-13T14:48:34Z</dcterms:created>
  <dcterms:modified xmlns:dcterms="http://purl.org/dc/terms/" xmlns:xsi="http://www.w3.org/2001/XMLSchema-instance" xsi:type="dcterms:W3CDTF">2026-07-13T14:48:34Z</dcterms:modified>
</cp:coreProperties>
</file>