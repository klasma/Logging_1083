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46274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46274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46274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46274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46274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46274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45331</v>
      </c>
      <c r="E8" s="1" t="n">
        <v>46274</v>
      </c>
      <c r="F8" t="inlineStr">
        <is>
          <t>BLEKINGE LÄN</t>
        </is>
      </c>
      <c r="G8" t="inlineStr">
        <is>
          <t>SÖLVESBORG</t>
        </is>
      </c>
      <c r="I8" t="n">
        <v>1.9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Kösa</t>
        </is>
      </c>
      <c r="W8">
        <f>HYPERLINK("https://klasma.github.io/Logging_1083/artfynd/A 5339-2024 artfynd.xlsx", "A 5339-2024")</f>
        <v/>
      </c>
      <c r="X8">
        <f>HYPERLINK("https://klasma.github.io/Logging_1083/kartor/A 5339-2024 karta.png", "A 5339-2024")</f>
        <v/>
      </c>
      <c r="Y8">
        <f>HYPERLINK("https://klasma.github.io/Logging_1083/kartor_geotiff/A 5339-2024 georefererad karta.tif", "A 5339-2024")</f>
        <v/>
      </c>
      <c r="AA8">
        <f>HYPERLINK("https://klasma.github.io/Logging_1083/klagomål/A 5339-2024 FSC-klagomål.docx", "A 5339-2024")</f>
        <v/>
      </c>
      <c r="AB8">
        <f>HYPERLINK("https://klasma.github.io/Logging_1083/klagomålsmail/A 5339-2024 FSC-klagomål mail.docx", "A 5339-2024")</f>
        <v/>
      </c>
      <c r="AC8">
        <f>HYPERLINK("https://klasma.github.io/Logging_1083/tillsyn/A 5339-2024 tillsynsbegäran.docx", "A 5339-2024")</f>
        <v/>
      </c>
      <c r="AD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45358</v>
      </c>
      <c r="E9" s="1" t="n">
        <v>46274</v>
      </c>
      <c r="F9" t="inlineStr">
        <is>
          <t>BLEKINGE LÄN</t>
        </is>
      </c>
      <c r="G9" t="inlineStr">
        <is>
          <t>SÖLVESBORG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Gröngöling</t>
        </is>
      </c>
      <c r="W9">
        <f>HYPERLINK("https://klasma.github.io/Logging_1083/artfynd/A 9316-2024 artfynd.xlsx", "A 9316-2024")</f>
        <v/>
      </c>
      <c r="X9">
        <f>HYPERLINK("https://klasma.github.io/Logging_1083/kartor/A 9316-2024 karta.png", "A 9316-2024")</f>
        <v/>
      </c>
      <c r="Y9">
        <f>HYPERLINK("https://klasma.github.io/Logging_1083/kartor_geotiff/A 9316-2024 georefererad karta.tif", "A 9316-2024")</f>
        <v/>
      </c>
      <c r="AA9">
        <f>HYPERLINK("https://klasma.github.io/Logging_1083/klagomål/A 9316-2024 FSC-klagomål.docx", "A 9316-2024")</f>
        <v/>
      </c>
      <c r="AB9">
        <f>HYPERLINK("https://klasma.github.io/Logging_1083/klagomålsmail/A 9316-2024 FSC-klagomål mail.docx", "A 9316-2024")</f>
        <v/>
      </c>
      <c r="AC9">
        <f>HYPERLINK("https://klasma.github.io/Logging_1083/tillsyn/A 9316-2024 tillsynsbegäran.docx", "A 9316-2024")</f>
        <v/>
      </c>
      <c r="AD9">
        <f>HYPERLINK("https://klasma.github.io/Logging_1083/tillsynsmail/A 9316-2024 tillsynsbegäran mail.docx", "A 9316-2024")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46274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46274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46274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46274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46274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46274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46274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46274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46274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46274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46274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46274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46274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46274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46274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46274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46274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45053</v>
      </c>
      <c r="E27" s="1" t="n">
        <v>46274</v>
      </c>
      <c r="F27" t="inlineStr">
        <is>
          <t>BLEKINGE LÄN</t>
        </is>
      </c>
      <c r="G27" t="inlineStr">
        <is>
          <t>SÖLVESBORG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45184</v>
      </c>
      <c r="E28" s="1" t="n">
        <v>46274</v>
      </c>
      <c r="F28" t="inlineStr">
        <is>
          <t>BLEKINGE LÄN</t>
        </is>
      </c>
      <c r="G28" t="inlineStr">
        <is>
          <t>SÖLVESBORG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46274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46274</v>
      </c>
      <c r="F30" t="inlineStr">
        <is>
          <t>BLEKINGE LÄN</t>
        </is>
      </c>
      <c r="G30" t="inlineStr">
        <is>
          <t>SÖLVESBORG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46274</v>
      </c>
      <c r="F31" t="inlineStr">
        <is>
          <t>BLEKINGE LÄN</t>
        </is>
      </c>
      <c r="G31" t="inlineStr">
        <is>
          <t>SÖLVESBORG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46274</v>
      </c>
      <c r="F32" t="inlineStr">
        <is>
          <t>BLEKINGE LÄN</t>
        </is>
      </c>
      <c r="G32" t="inlineStr">
        <is>
          <t>SÖLVESBORG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38406-2025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45883</v>
      </c>
      <c r="E33" s="1" t="n">
        <v>46274</v>
      </c>
      <c r="F33" t="inlineStr">
        <is>
          <t>BLEKINGE LÄN</t>
        </is>
      </c>
      <c r="G33" t="inlineStr">
        <is>
          <t>SÖLVESBORG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41565-2025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45901</v>
      </c>
      <c r="E34" s="1" t="n">
        <v>46274</v>
      </c>
      <c r="F34" t="inlineStr">
        <is>
          <t>BLEKINGE LÄN</t>
        </is>
      </c>
      <c r="G34" t="inlineStr">
        <is>
          <t>SÖLVESBORG</t>
        </is>
      </c>
      <c r="I34" t="n">
        <v>3.9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45525</v>
      </c>
      <c r="E35" s="1" t="n">
        <v>46274</v>
      </c>
      <c r="F35" t="inlineStr">
        <is>
          <t>BLEKINGE LÄN</t>
        </is>
      </c>
      <c r="G35" t="inlineStr">
        <is>
          <t>SÖLVESBORG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44641</v>
      </c>
      <c r="E36" s="1" t="n">
        <v>46274</v>
      </c>
      <c r="F36" t="inlineStr">
        <is>
          <t>BLEKINGE LÄN</t>
        </is>
      </c>
      <c r="G36" t="inlineStr">
        <is>
          <t>SÖLVESBORG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5407-2024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45331</v>
      </c>
      <c r="E37" s="1" t="n">
        <v>46274</v>
      </c>
      <c r="F37" t="inlineStr">
        <is>
          <t>BLEKINGE LÄN</t>
        </is>
      </c>
      <c r="G37" t="inlineStr">
        <is>
          <t>SÖLVESBORG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45838</v>
      </c>
      <c r="E38" s="1" t="n">
        <v>46274</v>
      </c>
      <c r="F38" t="inlineStr">
        <is>
          <t>BLEKINGE LÄN</t>
        </is>
      </c>
      <c r="G38" t="inlineStr">
        <is>
          <t>SÖLVESBORG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44493-2025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45916</v>
      </c>
      <c r="E39" s="1" t="n">
        <v>46274</v>
      </c>
      <c r="F39" t="inlineStr">
        <is>
          <t>BLEKINGE LÄN</t>
        </is>
      </c>
      <c r="G39" t="inlineStr">
        <is>
          <t>SÖLVESBORG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45916</v>
      </c>
      <c r="E40" s="1" t="n">
        <v>46274</v>
      </c>
      <c r="F40" t="inlineStr">
        <is>
          <t>BLEKINGE LÄN</t>
        </is>
      </c>
      <c r="G40" t="inlineStr">
        <is>
          <t>SÖLVESBORG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47242-2023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45197</v>
      </c>
      <c r="E41" s="1" t="n">
        <v>46274</v>
      </c>
      <c r="F41" t="inlineStr">
        <is>
          <t>BLEKINGE LÄN</t>
        </is>
      </c>
      <c r="G41" t="inlineStr">
        <is>
          <t>SÖLVESBORG</t>
        </is>
      </c>
      <c r="I41" t="n">
        <v>11.6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44768</v>
      </c>
      <c r="E42" s="1" t="n">
        <v>46274</v>
      </c>
      <c r="F42" t="inlineStr">
        <is>
          <t>BLEKINGE LÄN</t>
        </is>
      </c>
      <c r="G42" t="inlineStr">
        <is>
          <t>SÖLVESBORG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10390-2024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45365</v>
      </c>
      <c r="E43" s="1" t="n">
        <v>46274</v>
      </c>
      <c r="F43" t="inlineStr">
        <is>
          <t>BLEKINGE LÄN</t>
        </is>
      </c>
      <c r="G43" t="inlineStr">
        <is>
          <t>SÖLVESBORG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46274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45673</v>
      </c>
      <c r="E45" s="1" t="n">
        <v>46274</v>
      </c>
      <c r="F45" t="inlineStr">
        <is>
          <t>BLEKINGE LÄN</t>
        </is>
      </c>
      <c r="G45" t="inlineStr">
        <is>
          <t>SÖLVESBORG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33817-2025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45842</v>
      </c>
      <c r="E46" s="1" t="n">
        <v>46274</v>
      </c>
      <c r="F46" t="inlineStr">
        <is>
          <t>BLEKINGE LÄN</t>
        </is>
      </c>
      <c r="G46" t="inlineStr">
        <is>
          <t>SÖLVESBORG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45957</v>
      </c>
      <c r="E47" s="1" t="n">
        <v>46274</v>
      </c>
      <c r="F47" t="inlineStr">
        <is>
          <t>BLEKINGE LÄN</t>
        </is>
      </c>
      <c r="G47" t="inlineStr">
        <is>
          <t>SÖLVESBORG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8523-2025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45709</v>
      </c>
      <c r="E48" s="1" t="n">
        <v>46274</v>
      </c>
      <c r="F48" t="inlineStr">
        <is>
          <t>BLEKINGE LÄN</t>
        </is>
      </c>
      <c r="G48" t="inlineStr">
        <is>
          <t>SÖLVESBORG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46274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46274</v>
      </c>
      <c r="F50" t="inlineStr">
        <is>
          <t>BLEKINGE LÄN</t>
        </is>
      </c>
      <c r="G50" t="inlineStr">
        <is>
          <t>SÖLVESBORG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46274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61767-2022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44917</v>
      </c>
      <c r="E52" s="1" t="n">
        <v>46274</v>
      </c>
      <c r="F52" t="inlineStr">
        <is>
          <t>BLEKINGE LÄN</t>
        </is>
      </c>
      <c r="G52" t="inlineStr">
        <is>
          <t>SÖLVESBORG</t>
        </is>
      </c>
      <c r="H52" t="inlineStr">
        <is>
          <t>Kyrkan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26744-2026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46274</v>
      </c>
      <c r="F53" t="inlineStr">
        <is>
          <t>BLEKINGE LÄN</t>
        </is>
      </c>
      <c r="G53" t="inlineStr">
        <is>
          <t>SÖLVESBORG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27151-2026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46188</v>
      </c>
      <c r="E54" s="1" t="n">
        <v>46274</v>
      </c>
      <c r="F54" t="inlineStr">
        <is>
          <t>BLEKINGE LÄN</t>
        </is>
      </c>
      <c r="G54" t="inlineStr">
        <is>
          <t>SÖLVESBORG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45741</v>
      </c>
      <c r="E55" s="1" t="n">
        <v>46274</v>
      </c>
      <c r="F55" t="inlineStr">
        <is>
          <t>BLEKINGE LÄN</t>
        </is>
      </c>
      <c r="G55" t="inlineStr">
        <is>
          <t>SÖLVESBORG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44669</v>
      </c>
      <c r="E56" s="1" t="n">
        <v>46274</v>
      </c>
      <c r="F56" t="inlineStr">
        <is>
          <t>BLEKINGE LÄN</t>
        </is>
      </c>
      <c r="G56" t="inlineStr">
        <is>
          <t>SÖLVESBORG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45309</v>
      </c>
      <c r="E57" s="1" t="n">
        <v>46274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46274</v>
      </c>
      <c r="F58" t="inlineStr">
        <is>
          <t>BLEKINGE LÄN</t>
        </is>
      </c>
      <c r="G58" t="inlineStr">
        <is>
          <t>SÖLVESBORG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45939</v>
      </c>
      <c r="E59" s="1" t="n">
        <v>46274</v>
      </c>
      <c r="F59" t="inlineStr">
        <is>
          <t>BLEKINGE LÄN</t>
        </is>
      </c>
      <c r="G59" t="inlineStr">
        <is>
          <t>SÖLVESBORG</t>
        </is>
      </c>
      <c r="I59" t="n">
        <v>16.1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46274</v>
      </c>
      <c r="F60" t="inlineStr">
        <is>
          <t>BLEKINGE LÄN</t>
        </is>
      </c>
      <c r="G60" t="inlineStr">
        <is>
          <t>SÖLVESBORG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11528-2026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46083</v>
      </c>
      <c r="E61" s="1" t="n">
        <v>46274</v>
      </c>
      <c r="F61" t="inlineStr">
        <is>
          <t>BLEKINGE LÄN</t>
        </is>
      </c>
      <c r="G61" t="inlineStr">
        <is>
          <t>SÖLVESBORG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46274</v>
      </c>
      <c r="F62" t="inlineStr">
        <is>
          <t>BLEKINGE LÄN</t>
        </is>
      </c>
      <c r="G62" t="inlineStr">
        <is>
          <t>SÖLVESBORG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46274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39130-2024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46274</v>
      </c>
      <c r="F64" t="inlineStr">
        <is>
          <t>BLEKINGE LÄN</t>
        </is>
      </c>
      <c r="G64" t="inlineStr">
        <is>
          <t>SÖLVESBORG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46274</v>
      </c>
      <c r="F65" t="inlineStr">
        <is>
          <t>BLEKINGE LÄN</t>
        </is>
      </c>
      <c r="G65" t="inlineStr">
        <is>
          <t>SÖLVESBORG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46274</v>
      </c>
      <c r="F66" t="inlineStr">
        <is>
          <t>BLEKINGE LÄN</t>
        </is>
      </c>
      <c r="G66" t="inlineStr">
        <is>
          <t>SÖLVESBORG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33766-2024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45520</v>
      </c>
      <c r="E67" s="1" t="n">
        <v>46274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46274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44642</v>
      </c>
      <c r="E69" s="1" t="n">
        <v>46274</v>
      </c>
      <c r="F69" t="inlineStr">
        <is>
          <t>BLEKINGE LÄN</t>
        </is>
      </c>
      <c r="G69" t="inlineStr">
        <is>
          <t>SÖLVESBORG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46274</v>
      </c>
      <c r="F70" t="inlineStr">
        <is>
          <t>BLEKINGE LÄN</t>
        </is>
      </c>
      <c r="G70" t="inlineStr">
        <is>
          <t>SÖLVESBORG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52089-2023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46274</v>
      </c>
      <c r="F71" t="inlineStr">
        <is>
          <t>BLEKINGE LÄN</t>
        </is>
      </c>
      <c r="G71" t="inlineStr">
        <is>
          <t>SÖLVESBORG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45266</v>
      </c>
      <c r="E72" s="1" t="n">
        <v>46274</v>
      </c>
      <c r="F72" t="inlineStr">
        <is>
          <t>BLEKINGE LÄN</t>
        </is>
      </c>
      <c r="G72" t="inlineStr">
        <is>
          <t>SÖLVESBORG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26493-2023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45092</v>
      </c>
      <c r="E73" s="1" t="n">
        <v>46274</v>
      </c>
      <c r="F73" t="inlineStr">
        <is>
          <t>BLEKINGE LÄN</t>
        </is>
      </c>
      <c r="G73" t="inlineStr">
        <is>
          <t>SÖLVESBORG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45069</v>
      </c>
      <c r="E74" s="1" t="n">
        <v>46274</v>
      </c>
      <c r="F74" t="inlineStr">
        <is>
          <t>BLEKINGE LÄN</t>
        </is>
      </c>
      <c r="G74" t="inlineStr">
        <is>
          <t>SÖLVESBORG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8130-2025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45707</v>
      </c>
      <c r="E75" s="1" t="n">
        <v>46274</v>
      </c>
      <c r="F75" t="inlineStr">
        <is>
          <t>BLEKINGE LÄN</t>
        </is>
      </c>
      <c r="G75" t="inlineStr">
        <is>
          <t>SÖLVESBORG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46274</v>
      </c>
      <c r="F76" t="inlineStr">
        <is>
          <t>BLEKINGE LÄN</t>
        </is>
      </c>
      <c r="G76" t="inlineStr">
        <is>
          <t>SÖLVESBORG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60469-2023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45258</v>
      </c>
      <c r="E77" s="1" t="n">
        <v>46274</v>
      </c>
      <c r="F77" t="inlineStr">
        <is>
          <t>BLEKINGE LÄN</t>
        </is>
      </c>
      <c r="G77" t="inlineStr">
        <is>
          <t>SÖLVESBORG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44983</v>
      </c>
      <c r="E78" s="1" t="n">
        <v>46274</v>
      </c>
      <c r="F78" t="inlineStr">
        <is>
          <t>BLEKINGE LÄN</t>
        </is>
      </c>
      <c r="G78" t="inlineStr">
        <is>
          <t>SÖLVESBORG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46274</v>
      </c>
      <c r="F79" t="inlineStr">
        <is>
          <t>BLEKINGE LÄN</t>
        </is>
      </c>
      <c r="G79" t="inlineStr">
        <is>
          <t>SÖLVESBORG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45520</v>
      </c>
      <c r="E80" s="1" t="n">
        <v>46274</v>
      </c>
      <c r="F80" t="inlineStr">
        <is>
          <t>BLEKINGE LÄN</t>
        </is>
      </c>
      <c r="G80" t="inlineStr">
        <is>
          <t>SÖLVESBORG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46274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46274</v>
      </c>
      <c r="F82" t="inlineStr">
        <is>
          <t>BLEKINGE LÄN</t>
        </is>
      </c>
      <c r="G82" t="inlineStr">
        <is>
          <t>SÖLVESBORG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46274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45370</v>
      </c>
      <c r="E84" s="1" t="n">
        <v>46274</v>
      </c>
      <c r="F84" t="inlineStr">
        <is>
          <t>BLEKINGE LÄN</t>
        </is>
      </c>
      <c r="G84" t="inlineStr">
        <is>
          <t>SÖLVESBORG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46274</v>
      </c>
      <c r="F85" t="inlineStr">
        <is>
          <t>BLEKINGE LÄN</t>
        </is>
      </c>
      <c r="G85" t="inlineStr">
        <is>
          <t>SÖLVESBORG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45838</v>
      </c>
      <c r="E86" s="1" t="n">
        <v>46274</v>
      </c>
      <c r="F86" t="inlineStr">
        <is>
          <t>BLEKINGE LÄN</t>
        </is>
      </c>
      <c r="G86" t="inlineStr">
        <is>
          <t>SÖLVESBORG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46274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46274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46274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46274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46274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2026-09-09T02:12:21Z</dcterms:created>
  <dcterms:modified xmlns:dcterms="http://purl.org/dc/terms/" xmlns:xsi="http://www.w3.org/2001/XMLSchema-instance" xsi:type="dcterms:W3CDTF">2026-09-09T02:12:21Z</dcterms:modified>
</cp:coreProperties>
</file>