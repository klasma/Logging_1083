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46200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Skogsalm
Sankt pers nycklar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10274-2022</t>
        </is>
      </c>
      <c r="B3" s="1" t="n">
        <v>44622</v>
      </c>
      <c r="C3" s="1" t="n">
        <v>46200</v>
      </c>
      <c r="D3" t="inlineStr">
        <is>
          <t>BLEKINGE LÄN</t>
        </is>
      </c>
      <c r="E3" t="inlineStr">
        <is>
          <t>SÖLVESBORG</t>
        </is>
      </c>
      <c r="G3" t="n">
        <v>0.4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Större vattensalamander
Mindre vattensalamander</t>
        </is>
      </c>
      <c r="S3">
        <f>HYPERLINK("https://klasma.github.io/Logging_1083/artfynd/A 10274-2022 artfynd.xlsx", "A 10274-2022")</f>
        <v/>
      </c>
      <c r="T3">
        <f>HYPERLINK("https://klasma.github.io/Logging_1083/kartor/A 10274-2022 karta.png", "A 10274-2022")</f>
        <v/>
      </c>
      <c r="V3">
        <f>HYPERLINK("https://klasma.github.io/Logging_1083/klagomål/A 10274-2022 FSC-klagomål.docx", "A 10274-2022")</f>
        <v/>
      </c>
      <c r="W3">
        <f>HYPERLINK("https://klasma.github.io/Logging_1083/klagomålsmail/A 10274-2022 FSC-klagomål mail.docx", "A 10274-2022")</f>
        <v/>
      </c>
      <c r="X3">
        <f>HYPERLINK("https://klasma.github.io/Logging_1083/tillsyn/A 10274-2022 tillsynsbegäran.docx", "A 10274-2022")</f>
        <v/>
      </c>
      <c r="Y3">
        <f>HYPERLINK("https://klasma.github.io/Logging_1083/tillsynsmail/A 10274-2022 tillsynsbegäran mail.docx", "A 10274-2022")</f>
        <v/>
      </c>
    </row>
    <row r="4" ht="15" customHeight="1">
      <c r="A4" t="inlineStr">
        <is>
          <t>A 5339-2024</t>
        </is>
      </c>
      <c r="B4" s="1" t="n">
        <v>45331</v>
      </c>
      <c r="C4" s="1" t="n">
        <v>46200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Kösa</t>
        </is>
      </c>
      <c r="S4">
        <f>HYPERLINK("https://klasma.github.io/Logging_1083/artfynd/A 5339-2024 artfynd.xlsx", "A 5339-2024")</f>
        <v/>
      </c>
      <c r="T4">
        <f>HYPERLINK("https://klasma.github.io/Logging_1083/kartor/A 5339-2024 karta.png", "A 5339-2024")</f>
        <v/>
      </c>
      <c r="V4">
        <f>HYPERLINK("https://klasma.github.io/Logging_1083/klagomål/A 5339-2024 FSC-klagomål.docx", "A 5339-2024")</f>
        <v/>
      </c>
      <c r="W4">
        <f>HYPERLINK("https://klasma.github.io/Logging_1083/klagomålsmail/A 5339-2024 FSC-klagomål mail.docx", "A 5339-2024")</f>
        <v/>
      </c>
      <c r="X4">
        <f>HYPERLINK("https://klasma.github.io/Logging_1083/tillsyn/A 5339-2024 tillsynsbegäran.docx", "A 5339-2024")</f>
        <v/>
      </c>
      <c r="Y4">
        <f>HYPERLINK("https://klasma.github.io/Logging_1083/tillsynsmail/A 5339-2024 tillsynsbegäran mail.docx", "A 5339-2024")</f>
        <v/>
      </c>
    </row>
    <row r="5" ht="15" customHeight="1">
      <c r="A5" t="inlineStr">
        <is>
          <t>A 9316-2024</t>
        </is>
      </c>
      <c r="B5" s="1" t="n">
        <v>45358</v>
      </c>
      <c r="C5" s="1" t="n">
        <v>46200</v>
      </c>
      <c r="D5" t="inlineStr">
        <is>
          <t>BLEKINGE LÄN</t>
        </is>
      </c>
      <c r="E5" t="inlineStr">
        <is>
          <t>SÖLVESBORG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Gröngöling</t>
        </is>
      </c>
      <c r="S5">
        <f>HYPERLINK("https://klasma.github.io/Logging_1083/artfynd/A 9316-2024 artfynd.xlsx", "A 9316-2024")</f>
        <v/>
      </c>
      <c r="T5">
        <f>HYPERLINK("https://klasma.github.io/Logging_1083/kartor/A 9316-2024 karta.png", "A 9316-2024")</f>
        <v/>
      </c>
      <c r="V5">
        <f>HYPERLINK("https://klasma.github.io/Logging_1083/klagomål/A 9316-2024 FSC-klagomål.docx", "A 9316-2024")</f>
        <v/>
      </c>
      <c r="W5">
        <f>HYPERLINK("https://klasma.github.io/Logging_1083/klagomålsmail/A 9316-2024 FSC-klagomål mail.docx", "A 9316-2024")</f>
        <v/>
      </c>
      <c r="X5">
        <f>HYPERLINK("https://klasma.github.io/Logging_1083/tillsyn/A 9316-2024 tillsynsbegäran.docx", "A 9316-2024")</f>
        <v/>
      </c>
      <c r="Y5">
        <f>HYPERLINK("https://klasma.github.io/Logging_1083/tillsynsmail/A 9316-2024 tillsynsbegäran mail.docx", "A 9316-2024")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46200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46200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51772-2025</t>
        </is>
      </c>
      <c r="B8" s="1" t="n">
        <v>45951</v>
      </c>
      <c r="C8" s="1" t="n">
        <v>46200</v>
      </c>
      <c r="D8" t="inlineStr">
        <is>
          <t>BLEKINGE LÄN</t>
        </is>
      </c>
      <c r="E8" t="inlineStr">
        <is>
          <t>SÖLVESBORG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HYPERLINK("https://klasma.github.io/Logging_1083/artfynd/A 51772-2025 artfynd.xlsx", "A 51772-2025")</f>
        <v/>
      </c>
      <c r="T8">
        <f>HYPERLINK("https://klasma.github.io/Logging_1083/kartor/A 51772-2025 karta.png", "A 51772-2025")</f>
        <v/>
      </c>
      <c r="V8">
        <f>HYPERLINK("https://klasma.github.io/Logging_1083/klagomål/A 51772-2025 FSC-klagomål.docx", "A 51772-2025")</f>
        <v/>
      </c>
      <c r="W8">
        <f>HYPERLINK("https://klasma.github.io/Logging_1083/klagomålsmail/A 51772-2025 FSC-klagomål mail.docx", "A 51772-2025")</f>
        <v/>
      </c>
      <c r="X8">
        <f>HYPERLINK("https://klasma.github.io/Logging_1083/tillsyn/A 51772-2025 tillsynsbegäran.docx", "A 51772-2025")</f>
        <v/>
      </c>
      <c r="Y8">
        <f>HYPERLINK("https://klasma.github.io/Logging_1083/tillsynsmail/A 51772-2025 tillsynsbegäran mail.docx", "A 51772-2025")</f>
        <v/>
      </c>
    </row>
    <row r="9" ht="15" customHeight="1">
      <c r="A9" t="inlineStr">
        <is>
          <t>A 26455-2026</t>
        </is>
      </c>
      <c r="B9" s="1" t="n">
        <v>46183</v>
      </c>
      <c r="C9" s="1" t="n">
        <v>46200</v>
      </c>
      <c r="D9" t="inlineStr">
        <is>
          <t>BLEKINGE LÄN</t>
        </is>
      </c>
      <c r="E9" t="inlineStr">
        <is>
          <t>SÖLVESBORG</t>
        </is>
      </c>
      <c r="G9" t="n">
        <v>12.6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HYPERLINK("https://klasma.github.io/Logging_1083/artfynd/A 26455-2026 artfynd.xlsx", "A 26455-2026")</f>
        <v/>
      </c>
      <c r="T9">
        <f>HYPERLINK("https://klasma.github.io/Logging_1083/kartor/A 26455-2026 karta.png", "A 26455-2026")</f>
        <v/>
      </c>
      <c r="V9">
        <f>HYPERLINK("https://klasma.github.io/Logging_1083/klagomål/A 26455-2026 FSC-klagomål.docx", "A 26455-2026")</f>
        <v/>
      </c>
      <c r="W9">
        <f>HYPERLINK("https://klasma.github.io/Logging_1083/klagomålsmail/A 26455-2026 FSC-klagomål mail.docx", "A 26455-2026")</f>
        <v/>
      </c>
      <c r="X9">
        <f>HYPERLINK("https://klasma.github.io/Logging_1083/tillsyn/A 26455-2026 tillsynsbegäran.docx", "A 26455-2026")</f>
        <v/>
      </c>
      <c r="Y9">
        <f>HYPERLINK("https://klasma.github.io/Logging_1083/tillsynsmail/A 26455-2026 tillsynsbegäran mail.docx", "A 26455-2026")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46200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46200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20164-2023</t>
        </is>
      </c>
      <c r="B14" s="1" t="n">
        <v>45053</v>
      </c>
      <c r="C14" s="1" t="n">
        <v>46200</v>
      </c>
      <c r="D14" t="inlineStr">
        <is>
          <t>BLEKINGE LÄN</t>
        </is>
      </c>
      <c r="E14" t="inlineStr">
        <is>
          <t>SÖLVESBORG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</v>
      </c>
      <c r="C15" s="1" t="n">
        <v>46200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44752-2023</t>
        </is>
      </c>
      <c r="B16" s="1" t="n">
        <v>45184</v>
      </c>
      <c r="C16" s="1" t="n">
        <v>46200</v>
      </c>
      <c r="D16" t="inlineStr">
        <is>
          <t>BLEKINGE LÄN</t>
        </is>
      </c>
      <c r="E16" t="inlineStr">
        <is>
          <t>SÖLVESBORG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46200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46200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10403-2022</t>
        </is>
      </c>
      <c r="B19" s="1" t="n">
        <v>44623</v>
      </c>
      <c r="C19" s="1" t="n">
        <v>46200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</v>
      </c>
      <c r="C20" s="1" t="n">
        <v>46200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</v>
      </c>
      <c r="C21" s="1" t="n">
        <v>46200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34394-2024</t>
        </is>
      </c>
      <c r="B22" s="1" t="n">
        <v>45525</v>
      </c>
      <c r="C22" s="1" t="n">
        <v>46200</v>
      </c>
      <c r="D22" t="inlineStr">
        <is>
          <t>BLEKINGE LÄN</t>
        </is>
      </c>
      <c r="E22" t="inlineStr">
        <is>
          <t>SÖLVESBORG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46200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46200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22561-2023</t>
        </is>
      </c>
      <c r="B25" s="1" t="n">
        <v>45069</v>
      </c>
      <c r="C25" s="1" t="n">
        <v>46200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46200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8130-2025</t>
        </is>
      </c>
      <c r="B27" s="1" t="n">
        <v>45707</v>
      </c>
      <c r="C27" s="1" t="n">
        <v>46200</v>
      </c>
      <c r="D27" t="inlineStr">
        <is>
          <t>BLEKINGE LÄN</t>
        </is>
      </c>
      <c r="E27" t="inlineStr">
        <is>
          <t>SÖLVESBORG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5407-2024</t>
        </is>
      </c>
      <c r="B28" s="1" t="n">
        <v>45331</v>
      </c>
      <c r="C28" s="1" t="n">
        <v>46200</v>
      </c>
      <c r="D28" t="inlineStr">
        <is>
          <t>BLEKINGE LÄN</t>
        </is>
      </c>
      <c r="E28" t="inlineStr">
        <is>
          <t>SÖLVESBORG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66447-2021</t>
        </is>
      </c>
      <c r="B29" s="1" t="n">
        <v>44518</v>
      </c>
      <c r="C29" s="1" t="n">
        <v>46200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47242-2023</t>
        </is>
      </c>
      <c r="B30" s="1" t="n">
        <v>45197</v>
      </c>
      <c r="C30" s="1" t="n">
        <v>46200</v>
      </c>
      <c r="D30" t="inlineStr">
        <is>
          <t>BLEKINGE LÄN</t>
        </is>
      </c>
      <c r="E30" t="inlineStr">
        <is>
          <t>SÖLVESBORG</t>
        </is>
      </c>
      <c r="G30" t="n">
        <v>11.6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30992-2022</t>
        </is>
      </c>
      <c r="B31" s="1" t="n">
        <v>44768</v>
      </c>
      <c r="C31" s="1" t="n">
        <v>46200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10390-2024</t>
        </is>
      </c>
      <c r="B32" s="1" t="n">
        <v>45365</v>
      </c>
      <c r="C32" s="1" t="n">
        <v>46200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33766-2024</t>
        </is>
      </c>
      <c r="B33" s="1" t="n">
        <v>45520</v>
      </c>
      <c r="C33" s="1" t="n">
        <v>46200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2200-2025</t>
        </is>
      </c>
      <c r="B34" s="1" t="n">
        <v>45673</v>
      </c>
      <c r="C34" s="1" t="n">
        <v>46200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2210-2025</t>
        </is>
      </c>
      <c r="B35" s="1" t="n">
        <v>45673</v>
      </c>
      <c r="C35" s="1" t="n">
        <v>46200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46200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46200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</v>
      </c>
      <c r="C38" s="1" t="n">
        <v>46200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</v>
      </c>
      <c r="C39" s="1" t="n">
        <v>46200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7134-2023</t>
        </is>
      </c>
      <c r="B40" s="1" t="n">
        <v>44970</v>
      </c>
      <c r="C40" s="1" t="n">
        <v>46200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46200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44871-2023</t>
        </is>
      </c>
      <c r="B42" s="1" t="n">
        <v>45190</v>
      </c>
      <c r="C42" s="1" t="n">
        <v>46200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52086-2023</t>
        </is>
      </c>
      <c r="B43" s="1" t="n">
        <v>45216</v>
      </c>
      <c r="C43" s="1" t="n">
        <v>46200</v>
      </c>
      <c r="D43" t="inlineStr">
        <is>
          <t>BLEKINGE LÄN</t>
        </is>
      </c>
      <c r="E43" t="inlineStr">
        <is>
          <t>SÖLVESBORG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22906-2024</t>
        </is>
      </c>
      <c r="B44" s="1" t="n">
        <v>45448</v>
      </c>
      <c r="C44" s="1" t="n">
        <v>46200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8523-2025</t>
        </is>
      </c>
      <c r="B45" s="1" t="n">
        <v>45709</v>
      </c>
      <c r="C45" s="1" t="n">
        <v>46200</v>
      </c>
      <c r="D45" t="inlineStr">
        <is>
          <t>BLEKINGE LÄN</t>
        </is>
      </c>
      <c r="E45" t="inlineStr">
        <is>
          <t>SÖLVESBORG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34727-2021</t>
        </is>
      </c>
      <c r="B46" s="1" t="n">
        <v>44382</v>
      </c>
      <c r="C46" s="1" t="n">
        <v>46200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</v>
      </c>
      <c r="C47" s="1" t="n">
        <v>46200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27402-2025</t>
        </is>
      </c>
      <c r="B48" s="1" t="n">
        <v>45812</v>
      </c>
      <c r="C48" s="1" t="n">
        <v>46200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46200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2089-2024</t>
        </is>
      </c>
      <c r="B50" s="1" t="n">
        <v>45309</v>
      </c>
      <c r="C50" s="1" t="n">
        <v>46200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8837-2024</t>
        </is>
      </c>
      <c r="B51" s="1" t="n">
        <v>45356</v>
      </c>
      <c r="C51" s="1" t="n">
        <v>46200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60469-2023</t>
        </is>
      </c>
      <c r="B52" s="1" t="n">
        <v>45258</v>
      </c>
      <c r="C52" s="1" t="n">
        <v>46200</v>
      </c>
      <c r="D52" t="inlineStr">
        <is>
          <t>BLEKINGE LÄN</t>
        </is>
      </c>
      <c r="E52" t="inlineStr">
        <is>
          <t>SÖLVESBORG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</v>
      </c>
      <c r="C53" s="1" t="n">
        <v>46200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16297-2022</t>
        </is>
      </c>
      <c r="B54" s="1" t="n">
        <v>44670</v>
      </c>
      <c r="C54" s="1" t="n">
        <v>46200</v>
      </c>
      <c r="D54" t="inlineStr">
        <is>
          <t>BLEKINGE LÄN</t>
        </is>
      </c>
      <c r="E54" t="inlineStr">
        <is>
          <t>SÖLVESBORG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32514-2025</t>
        </is>
      </c>
      <c r="B55" s="1" t="n">
        <v>45838</v>
      </c>
      <c r="C55" s="1" t="n">
        <v>46200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46200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2832-2023</t>
        </is>
      </c>
      <c r="B57" s="1" t="n">
        <v>44945</v>
      </c>
      <c r="C57" s="1" t="n">
        <v>46200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46200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21464-2025</t>
        </is>
      </c>
      <c r="B59" s="1" t="n">
        <v>45782</v>
      </c>
      <c r="C59" s="1" t="n">
        <v>46200</v>
      </c>
      <c r="D59" t="inlineStr">
        <is>
          <t>BLEKINGE LÄN</t>
        </is>
      </c>
      <c r="E59" t="inlineStr">
        <is>
          <t>SÖLVESBORG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</v>
      </c>
      <c r="C60" s="1" t="n">
        <v>46200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14475-2025</t>
        </is>
      </c>
      <c r="B61" s="1" t="n">
        <v>45741</v>
      </c>
      <c r="C61" s="1" t="n">
        <v>46200</v>
      </c>
      <c r="D61" t="inlineStr">
        <is>
          <t>BLEKINGE LÄN</t>
        </is>
      </c>
      <c r="E61" t="inlineStr">
        <is>
          <t>SÖLVESBORG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46200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</v>
      </c>
      <c r="C63" s="1" t="n">
        <v>46200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445-2024</t>
        </is>
      </c>
      <c r="B64" s="1" t="n">
        <v>45296</v>
      </c>
      <c r="C64" s="1" t="n">
        <v>46200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41565-2025</t>
        </is>
      </c>
      <c r="B65" s="1" t="n">
        <v>45901</v>
      </c>
      <c r="C65" s="1" t="n">
        <v>46200</v>
      </c>
      <c r="D65" t="inlineStr">
        <is>
          <t>BLEKINGE LÄN</t>
        </is>
      </c>
      <c r="E65" t="inlineStr">
        <is>
          <t>SÖLVESBORG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46200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52893-2025</t>
        </is>
      </c>
      <c r="B67" s="1" t="n">
        <v>45957</v>
      </c>
      <c r="C67" s="1" t="n">
        <v>46200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53293-2025</t>
        </is>
      </c>
      <c r="B68" s="1" t="n">
        <v>45958</v>
      </c>
      <c r="C68" s="1" t="n">
        <v>46200</v>
      </c>
      <c r="D68" t="inlineStr">
        <is>
          <t>BLEKINGE LÄN</t>
        </is>
      </c>
      <c r="E68" t="inlineStr">
        <is>
          <t>SÖLVESBORG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32436-2025</t>
        </is>
      </c>
      <c r="B69" s="1" t="n">
        <v>45838</v>
      </c>
      <c r="C69" s="1" t="n">
        <v>46200</v>
      </c>
      <c r="D69" t="inlineStr">
        <is>
          <t>BLEKINGE LÄN</t>
        </is>
      </c>
      <c r="E69" t="inlineStr">
        <is>
          <t>SÖLVESBORG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44493-2025</t>
        </is>
      </c>
      <c r="B70" s="1" t="n">
        <v>45916</v>
      </c>
      <c r="C70" s="1" t="n">
        <v>46200</v>
      </c>
      <c r="D70" t="inlineStr">
        <is>
          <t>BLEKINGE LÄN</t>
        </is>
      </c>
      <c r="E70" t="inlineStr">
        <is>
          <t>SÖLVESBORG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46200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46200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62334-2023</t>
        </is>
      </c>
      <c r="B73" s="1" t="n">
        <v>45266</v>
      </c>
      <c r="C73" s="1" t="n">
        <v>46200</v>
      </c>
      <c r="D73" t="inlineStr">
        <is>
          <t>BLEKINGE LÄN</t>
        </is>
      </c>
      <c r="E73" t="inlineStr">
        <is>
          <t>SÖLVESBORG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</v>
      </c>
      <c r="C74" s="1" t="n">
        <v>46200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20093-2025</t>
        </is>
      </c>
      <c r="B75" s="1" t="n">
        <v>45772</v>
      </c>
      <c r="C75" s="1" t="n">
        <v>46200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46200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46200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46200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46200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46200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11528-2026</t>
        </is>
      </c>
      <c r="B81" s="1" t="n">
        <v>46083</v>
      </c>
      <c r="C81" s="1" t="n">
        <v>46200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</v>
      </c>
      <c r="C82" s="1" t="n">
        <v>46200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26744-2026</t>
        </is>
      </c>
      <c r="B83" s="1" t="n">
        <v>46184</v>
      </c>
      <c r="C83" s="1" t="n">
        <v>46200</v>
      </c>
      <c r="D83" t="inlineStr">
        <is>
          <t>BLEKINGE LÄN</t>
        </is>
      </c>
      <c r="E83" t="inlineStr">
        <is>
          <t>SÖLVESBORG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27151-2026</t>
        </is>
      </c>
      <c r="B84" s="1" t="n">
        <v>46188</v>
      </c>
      <c r="C84" s="1" t="n">
        <v>46200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28082-2026</t>
        </is>
      </c>
      <c r="B85" s="1" t="n">
        <v>46195</v>
      </c>
      <c r="C85" s="1" t="n">
        <v>46200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33817-2025</t>
        </is>
      </c>
      <c r="B86" s="1" t="n">
        <v>45842</v>
      </c>
      <c r="C86" s="1" t="n">
        <v>46200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2026-06-27T00:54:52Z</dcterms:created>
  <dcterms:modified xmlns:dcterms="http://purl.org/dc/terms/" xmlns:xsi="http://www.w3.org/2001/XMLSchema-instance" xsi:type="dcterms:W3CDTF">2026-06-27T00:54:52Z</dcterms:modified>
</cp:coreProperties>
</file>