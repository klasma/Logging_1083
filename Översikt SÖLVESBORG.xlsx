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46217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s="2" t="inlineStr">
        <is>
          <t>Dvärgjohannesört
Gullklöver
Kavelhirs
Mjukdån
Sydspärgel
Igelkottsröksvamp
Västlig hakmossa
Revlummer</t>
        </is>
      </c>
      <c r="V2">
        <f>HYPERLINK("https://klasma.github.io/Logging_1083/artfynd/S 4534-2023 artfynd.xlsx", "S 4534-2023")</f>
        <v/>
      </c>
      <c r="W2">
        <f>HYPERLINK("https://klasma.github.io/Logging_1083/kartor/S 4534-2023 karta.png", "S 4534-2023")</f>
        <v/>
      </c>
      <c r="Y2">
        <f>HYPERLINK("https://klasma.github.io/Logging_1083/klagomål/S 4534-2023 FSC-klagomål.docx", "S 4534-2023")</f>
        <v/>
      </c>
      <c r="Z2">
        <f>HYPERLINK("https://klasma.github.io/Logging_1083/klagomålsmail/S 4534-2023 FSC-klagomål mail.docx", "S 4534-2023")</f>
        <v/>
      </c>
      <c r="AA2">
        <f>HYPERLINK("https://klasma.github.io/Logging_1083/tillsyn/S 4534-2023 tillsynsbegäran.docx", "S 4534-2023")</f>
        <v/>
      </c>
      <c r="AB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46217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s="2" t="inlineStr">
        <is>
          <t>Sommarfibbla
Myskmadra
Långbensgroda</t>
        </is>
      </c>
      <c r="V3">
        <f>HYPERLINK("https://klasma.github.io/Logging_1083/artfynd/S 4692-2022 artfynd.xlsx", "S 4692-2022")</f>
        <v/>
      </c>
      <c r="W3">
        <f>HYPERLINK("https://klasma.github.io/Logging_1083/kartor/S 4692-2022 karta.png", "S 4692-2022")</f>
        <v/>
      </c>
      <c r="Y3">
        <f>HYPERLINK("https://klasma.github.io/Logging_1083/klagomål/S 4692-2022 FSC-klagomål.docx", "S 4692-2022")</f>
        <v/>
      </c>
      <c r="Z3">
        <f>HYPERLINK("https://klasma.github.io/Logging_1083/klagomålsmail/S 4692-2022 FSC-klagomål mail.docx", "S 4692-2022")</f>
        <v/>
      </c>
      <c r="AA3">
        <f>HYPERLINK("https://klasma.github.io/Logging_1083/tillsyn/S 4692-2022 tillsynsbegäran.docx", "S 4692-2022")</f>
        <v/>
      </c>
      <c r="AB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46217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Större vattensalamander
Mindre vattensalamander</t>
        </is>
      </c>
      <c r="V4">
        <f>HYPERLINK("https://klasma.github.io/Logging_1083/artfynd/A 10274-2022 artfynd.xlsx", "A 10274-2022")</f>
        <v/>
      </c>
      <c r="W4">
        <f>HYPERLINK("https://klasma.github.io/Logging_1083/kartor/A 10274-2022 karta.png", "A 10274-2022")</f>
        <v/>
      </c>
      <c r="Y4">
        <f>HYPERLINK("https://klasma.github.io/Logging_1083/klagomål/A 10274-2022 FSC-klagomål.docx", "A 10274-2022")</f>
        <v/>
      </c>
      <c r="Z4">
        <f>HYPERLINK("https://klasma.github.io/Logging_1083/klagomålsmail/A 10274-2022 FSC-klagomål mail.docx", "A 10274-2022")</f>
        <v/>
      </c>
      <c r="AA4">
        <f>HYPERLINK("https://klasma.github.io/Logging_1083/tillsyn/A 10274-2022 tillsynsbegäran.docx", "A 10274-2022")</f>
        <v/>
      </c>
      <c r="AB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46217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Skogsalm
Sankt pers nycklar</t>
        </is>
      </c>
      <c r="V5">
        <f>HYPERLINK("https://klasma.github.io/Logging_1083/artfynd/A 21769-2023 artfynd.xlsx", "A 21769-2023")</f>
        <v/>
      </c>
      <c r="W5">
        <f>HYPERLINK("https://klasma.github.io/Logging_1083/kartor/A 21769-2023 karta.png", "A 21769-2023")</f>
        <v/>
      </c>
      <c r="Y5">
        <f>HYPERLINK("https://klasma.github.io/Logging_1083/klagomål/A 21769-2023 FSC-klagomål.docx", "A 21769-2023")</f>
        <v/>
      </c>
      <c r="Z5">
        <f>HYPERLINK("https://klasma.github.io/Logging_1083/klagomålsmail/A 21769-2023 FSC-klagomål mail.docx", "A 21769-2023")</f>
        <v/>
      </c>
      <c r="AA5">
        <f>HYPERLINK("https://klasma.github.io/Logging_1083/tillsyn/A 21769-2023 tillsynsbegäran.docx", "A 21769-2023")</f>
        <v/>
      </c>
      <c r="AB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46217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Kragjordstjärna</t>
        </is>
      </c>
      <c r="V6">
        <f>HYPERLINK("https://klasma.github.io/Logging_1083/artfynd/A 51772-2025 artfynd.xlsx", "A 51772-2025")</f>
        <v/>
      </c>
      <c r="W6">
        <f>HYPERLINK("https://klasma.github.io/Logging_1083/kartor/A 51772-2025 karta.png", "A 51772-2025")</f>
        <v/>
      </c>
      <c r="Y6">
        <f>HYPERLINK("https://klasma.github.io/Logging_1083/klagomål/A 51772-2025 FSC-klagomål.docx", "A 51772-2025")</f>
        <v/>
      </c>
      <c r="Z6">
        <f>HYPERLINK("https://klasma.github.io/Logging_1083/klagomålsmail/A 51772-2025 FSC-klagomål mail.docx", "A 51772-2025")</f>
        <v/>
      </c>
      <c r="AA6">
        <f>HYPERLINK("https://klasma.github.io/Logging_1083/tillsyn/A 51772-2025 tillsynsbegäran.docx", "A 51772-2025")</f>
        <v/>
      </c>
      <c r="AB6">
        <f>HYPERLINK("https://klasma.github.io/Logging_1083/tillsynsmail/A 51772-2025 tillsynsbegäran mail.docx", "A 51772-2025")</f>
        <v/>
      </c>
    </row>
    <row r="7" ht="15" customHeight="1">
      <c r="A7" t="inlineStr">
        <is>
          <t>A 26455-2026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46183</v>
      </c>
      <c r="E7" s="1" t="n">
        <v>46217</v>
      </c>
      <c r="F7" t="inlineStr">
        <is>
          <t>BLEKINGE LÄN</t>
        </is>
      </c>
      <c r="G7" t="inlineStr">
        <is>
          <t>SÖLVESBORG</t>
        </is>
      </c>
      <c r="I7" t="n">
        <v>12.6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Myskmadra</t>
        </is>
      </c>
      <c r="V7">
        <f>HYPERLINK("https://klasma.github.io/Logging_1083/artfynd/A 26455-2026 artfynd.xlsx", "A 26455-2026")</f>
        <v/>
      </c>
      <c r="W7">
        <f>HYPERLINK("https://klasma.github.io/Logging_1083/kartor/A 26455-2026 karta.png", "A 26455-2026")</f>
        <v/>
      </c>
      <c r="Y7">
        <f>HYPERLINK("https://klasma.github.io/Logging_1083/klagomål/A 26455-2026 FSC-klagomål.docx", "A 26455-2026")</f>
        <v/>
      </c>
      <c r="Z7">
        <f>HYPERLINK("https://klasma.github.io/Logging_1083/klagomålsmail/A 26455-2026 FSC-klagomål mail.docx", "A 26455-2026")</f>
        <v/>
      </c>
      <c r="AA7">
        <f>HYPERLINK("https://klasma.github.io/Logging_1083/tillsyn/A 26455-2026 tillsynsbegäran.docx", "A 26455-2026")</f>
        <v/>
      </c>
      <c r="AB7">
        <f>HYPERLINK("https://klasma.github.io/Logging_1083/tillsynsmail/A 26455-2026 tillsynsbegäran mail.docx", "A 26455-2026")</f>
        <v/>
      </c>
    </row>
    <row r="8" ht="15" customHeight="1">
      <c r="A8" t="inlineStr">
        <is>
          <t>A 28478-2023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46217</v>
      </c>
      <c r="F8" t="inlineStr">
        <is>
          <t>BLEKINGE LÄN</t>
        </is>
      </c>
      <c r="G8" t="inlineStr">
        <is>
          <t>SÖLVESBORG</t>
        </is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Dvärgpipistrell</t>
        </is>
      </c>
      <c r="V8">
        <f>HYPERLINK("https://klasma.github.io/Logging_1083/artfynd/A 28478-2023 artfynd.xlsx", "A 28478-2023")</f>
        <v/>
      </c>
      <c r="W8">
        <f>HYPERLINK("https://klasma.github.io/Logging_1083/kartor/A 28478-2023 karta.png", "A 28478-2023")</f>
        <v/>
      </c>
      <c r="Y8">
        <f>HYPERLINK("https://klasma.github.io/Logging_1083/klagomål/A 28478-2023 FSC-klagomål.docx", "A 28478-2023")</f>
        <v/>
      </c>
      <c r="Z8">
        <f>HYPERLINK("https://klasma.github.io/Logging_1083/klagomålsmail/A 28478-2023 FSC-klagomål mail.docx", "A 28478-2023")</f>
        <v/>
      </c>
      <c r="AA8">
        <f>HYPERLINK("https://klasma.github.io/Logging_1083/tillsyn/A 28478-2023 tillsynsbegäran.docx", "A 28478-2023")</f>
        <v/>
      </c>
      <c r="AB8">
        <f>HYPERLINK("https://klasma.github.io/Logging_1083/tillsynsmail/A 28478-2023 tillsynsbegäran mail.docx", "A 28478-2023")</f>
        <v/>
      </c>
    </row>
    <row r="9" ht="15" customHeight="1">
      <c r="A9" t="inlineStr">
        <is>
          <t>A 48309-2024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45590</v>
      </c>
      <c r="E9" s="1" t="n">
        <v>46217</v>
      </c>
      <c r="F9" t="inlineStr">
        <is>
          <t>BLEKINGE LÄN</t>
        </is>
      </c>
      <c r="G9" t="inlineStr">
        <is>
          <t>SÖLVESBORG</t>
        </is>
      </c>
      <c r="I9" t="n">
        <v>1.5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Revlummer</t>
        </is>
      </c>
      <c r="V9">
        <f>HYPERLINK("https://klasma.github.io/Logging_1083/artfynd/A 48309-2024 artfynd.xlsx", "A 48309-2024")</f>
        <v/>
      </c>
      <c r="W9">
        <f>HYPERLINK("https://klasma.github.io/Logging_1083/kartor/A 48309-2024 karta.png", "A 48309-2024")</f>
        <v/>
      </c>
      <c r="Y9">
        <f>HYPERLINK("https://klasma.github.io/Logging_1083/klagomål/A 48309-2024 FSC-klagomål.docx", "A 48309-2024")</f>
        <v/>
      </c>
      <c r="Z9">
        <f>HYPERLINK("https://klasma.github.io/Logging_1083/klagomålsmail/A 48309-2024 FSC-klagomål mail.docx", "A 48309-2024")</f>
        <v/>
      </c>
      <c r="AA9">
        <f>HYPERLINK("https://klasma.github.io/Logging_1083/tillsyn/A 48309-2024 tillsynsbegäran.docx", "A 48309-2024")</f>
        <v/>
      </c>
      <c r="AB9">
        <f>HYPERLINK("https://klasma.github.io/Logging_1083/tillsynsmail/A 48309-2024 tillsynsbegäran mail.docx", "A 48309-2024")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46217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Kösa</t>
        </is>
      </c>
      <c r="V10">
        <f>HYPERLINK("https://klasma.github.io/Logging_1083/artfynd/A 5339-2024 artfynd.xlsx", "A 5339-2024")</f>
        <v/>
      </c>
      <c r="W10">
        <f>HYPERLINK("https://klasma.github.io/Logging_1083/kartor/A 5339-2024 karta.png", "A 5339-2024")</f>
        <v/>
      </c>
      <c r="Y10">
        <f>HYPERLINK("https://klasma.github.io/Logging_1083/klagomål/A 5339-2024 FSC-klagomål.docx", "A 5339-2024")</f>
        <v/>
      </c>
      <c r="Z10">
        <f>HYPERLINK("https://klasma.github.io/Logging_1083/klagomålsmail/A 5339-2024 FSC-klagomål mail.docx", "A 5339-2024")</f>
        <v/>
      </c>
      <c r="AA10">
        <f>HYPERLINK("https://klasma.github.io/Logging_1083/tillsyn/A 5339-2024 tillsynsbegäran.docx", "A 5339-2024")</f>
        <v/>
      </c>
      <c r="AB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46217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Gröngöling</t>
        </is>
      </c>
      <c r="V11">
        <f>HYPERLINK("https://klasma.github.io/Logging_1083/artfynd/A 9316-2024 artfynd.xlsx", "A 9316-2024")</f>
        <v/>
      </c>
      <c r="W11">
        <f>HYPERLINK("https://klasma.github.io/Logging_1083/kartor/A 9316-2024 karta.png", "A 9316-2024")</f>
        <v/>
      </c>
      <c r="Y11">
        <f>HYPERLINK("https://klasma.github.io/Logging_1083/klagomål/A 9316-2024 FSC-klagomål.docx", "A 9316-2024")</f>
        <v/>
      </c>
      <c r="Z11">
        <f>HYPERLINK("https://klasma.github.io/Logging_1083/klagomålsmail/A 9316-2024 FSC-klagomål mail.docx", "A 9316-2024")</f>
        <v/>
      </c>
      <c r="AA11">
        <f>HYPERLINK("https://klasma.github.io/Logging_1083/tillsyn/A 9316-2024 tillsynsbegäran.docx", "A 9316-2024")</f>
        <v/>
      </c>
      <c r="AB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46217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Strandlummer</t>
        </is>
      </c>
      <c r="V12">
        <f>HYPERLINK("https://klasma.github.io/Logging_1083/artfynd/S 762-2025 artfynd.xlsx", "S 762-2025")</f>
        <v/>
      </c>
      <c r="W12">
        <f>HYPERLINK("https://klasma.github.io/Logging_1083/kartor/S 762-2025 karta.png", "S 762-2025")</f>
        <v/>
      </c>
      <c r="Y12">
        <f>HYPERLINK("https://klasma.github.io/Logging_1083/klagomål/S 762-2025 FSC-klagomål.docx", "S 762-2025")</f>
        <v/>
      </c>
      <c r="Z12">
        <f>HYPERLINK("https://klasma.github.io/Logging_1083/klagomålsmail/S 762-2025 FSC-klagomål mail.docx", "S 762-2025")</f>
        <v/>
      </c>
      <c r="AA12">
        <f>HYPERLINK("https://klasma.github.io/Logging_1083/tillsyn/S 762-2025 tillsynsbegäran.docx", "S 762-2025")</f>
        <v/>
      </c>
      <c r="AB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46217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46217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46217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46217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46217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46217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22906-2024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45448</v>
      </c>
      <c r="E19" s="1" t="n">
        <v>46217</v>
      </c>
      <c r="F19" t="inlineStr">
        <is>
          <t>BLEKINGE LÄN</t>
        </is>
      </c>
      <c r="G19" t="inlineStr">
        <is>
          <t>SÖLVESBORG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12298-2022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44641</v>
      </c>
      <c r="E20" s="1" t="n">
        <v>46217</v>
      </c>
      <c r="F20" t="inlineStr">
        <is>
          <t>BLEKINGE LÄN</t>
        </is>
      </c>
      <c r="G20" t="inlineStr">
        <is>
          <t>SÖLVESBORG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10390-2024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46217</v>
      </c>
      <c r="F21" t="inlineStr">
        <is>
          <t>BLEKINGE LÄN</t>
        </is>
      </c>
      <c r="G21" t="inlineStr">
        <is>
          <t>SÖLVESBORG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17612-2024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45416</v>
      </c>
      <c r="E22" s="1" t="n">
        <v>46217</v>
      </c>
      <c r="F22" t="inlineStr">
        <is>
          <t>BLEKINGE LÄN</t>
        </is>
      </c>
      <c r="G22" t="inlineStr">
        <is>
          <t>SÖLVESBORG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16188-2022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44669</v>
      </c>
      <c r="E23" s="1" t="n">
        <v>46217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12848-2022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44642</v>
      </c>
      <c r="E24" s="1" t="n">
        <v>46217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16297-2022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44670</v>
      </c>
      <c r="E25" s="1" t="n">
        <v>46217</v>
      </c>
      <c r="F25" t="inlineStr">
        <is>
          <t>BLEKINGE LÄN</t>
        </is>
      </c>
      <c r="G25" t="inlineStr">
        <is>
          <t>SÖLVESBORG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14136-2025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45738</v>
      </c>
      <c r="E26" s="1" t="n">
        <v>46217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38406-2025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46217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63571-2023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45275</v>
      </c>
      <c r="E28" s="1" t="n">
        <v>46217</v>
      </c>
      <c r="F28" t="inlineStr">
        <is>
          <t>BLEKINGE LÄN</t>
        </is>
      </c>
      <c r="G28" t="inlineStr">
        <is>
          <t>SÖLVESBORG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26478-2023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45092</v>
      </c>
      <c r="E29" s="1" t="n">
        <v>46217</v>
      </c>
      <c r="F29" t="inlineStr">
        <is>
          <t>BLEKINGE LÄN</t>
        </is>
      </c>
      <c r="G29" t="inlineStr">
        <is>
          <t>SÖLVESBORG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28080-2023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45099</v>
      </c>
      <c r="E30" s="1" t="n">
        <v>46217</v>
      </c>
      <c r="F30" t="inlineStr">
        <is>
          <t>BLEKINGE LÄN</t>
        </is>
      </c>
      <c r="G30" t="inlineStr">
        <is>
          <t>SÖLVESBORG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38317-2025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45883</v>
      </c>
      <c r="E31" s="1" t="n">
        <v>46217</v>
      </c>
      <c r="F31" t="inlineStr">
        <is>
          <t>BLEKINGE LÄN</t>
        </is>
      </c>
      <c r="G31" t="inlineStr">
        <is>
          <t>SÖLVESBORG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41565-2025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45901</v>
      </c>
      <c r="E32" s="1" t="n">
        <v>46217</v>
      </c>
      <c r="F32" t="inlineStr">
        <is>
          <t>BLEKINGE LÄN</t>
        </is>
      </c>
      <c r="G32" t="inlineStr">
        <is>
          <t>SÖLVESBORG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62334-2023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45266</v>
      </c>
      <c r="E33" s="1" t="n">
        <v>46217</v>
      </c>
      <c r="F33" t="inlineStr">
        <is>
          <t>BLEKINGE LÄN</t>
        </is>
      </c>
      <c r="G33" t="inlineStr">
        <is>
          <t>SÖLVESBORG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32436-2025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45838</v>
      </c>
      <c r="E34" s="1" t="n">
        <v>46217</v>
      </c>
      <c r="F34" t="inlineStr">
        <is>
          <t>BLEKINGE LÄN</t>
        </is>
      </c>
      <c r="G34" t="inlineStr">
        <is>
          <t>SÖLVESBORG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44495-2025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45916</v>
      </c>
      <c r="E35" s="1" t="n">
        <v>46217</v>
      </c>
      <c r="F35" t="inlineStr">
        <is>
          <t>BLEKINGE LÄN</t>
        </is>
      </c>
      <c r="G35" t="inlineStr">
        <is>
          <t>SÖLVESBORG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44493-2025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45916</v>
      </c>
      <c r="E36" s="1" t="n">
        <v>46217</v>
      </c>
      <c r="F36" t="inlineStr">
        <is>
          <t>BLEKINGE LÄN</t>
        </is>
      </c>
      <c r="G36" t="inlineStr">
        <is>
          <t>SÖLVESBORG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46500-2023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45197</v>
      </c>
      <c r="E37" s="1" t="n">
        <v>46217</v>
      </c>
      <c r="F37" t="inlineStr">
        <is>
          <t>BLEKINGE LÄN</t>
        </is>
      </c>
      <c r="G37" t="inlineStr">
        <is>
          <t>SÖLVESBORG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33766-2024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46217</v>
      </c>
      <c r="F38" t="inlineStr">
        <is>
          <t>BLEKINGE LÄN</t>
        </is>
      </c>
      <c r="G38" t="inlineStr">
        <is>
          <t>SÖLVESBORG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52893-2025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45957</v>
      </c>
      <c r="E39" s="1" t="n">
        <v>46217</v>
      </c>
      <c r="F39" t="inlineStr">
        <is>
          <t>BLEKINGE LÄN</t>
        </is>
      </c>
      <c r="G39" t="inlineStr">
        <is>
          <t>SÖLVESBORG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39130-2024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45548</v>
      </c>
      <c r="E40" s="1" t="n">
        <v>46217</v>
      </c>
      <c r="F40" t="inlineStr">
        <is>
          <t>BLEKINGE LÄN</t>
        </is>
      </c>
      <c r="G40" t="inlineStr">
        <is>
          <t>SÖLVESBORG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26493-2023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45092</v>
      </c>
      <c r="E41" s="1" t="n">
        <v>46217</v>
      </c>
      <c r="F41" t="inlineStr">
        <is>
          <t>BLEKINGE LÄN</t>
        </is>
      </c>
      <c r="G41" t="inlineStr">
        <is>
          <t>SÖLVESBORG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7134-2023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44970</v>
      </c>
      <c r="E42" s="1" t="n">
        <v>46217</v>
      </c>
      <c r="F42" t="inlineStr">
        <is>
          <t>BLEKINGE LÄN</t>
        </is>
      </c>
      <c r="G42" t="inlineStr">
        <is>
          <t>SÖLVESBORG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52086-2023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46217</v>
      </c>
      <c r="F43" t="inlineStr">
        <is>
          <t>BLEKINGE LÄN</t>
        </is>
      </c>
      <c r="G43" t="inlineStr">
        <is>
          <t>SÖLVESBORG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19827-2024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45433</v>
      </c>
      <c r="E44" s="1" t="n">
        <v>46217</v>
      </c>
      <c r="F44" t="inlineStr">
        <is>
          <t>BLEKINGE LÄN</t>
        </is>
      </c>
      <c r="G44" t="inlineStr">
        <is>
          <t>SÖLVESBORG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26744-2026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46217</v>
      </c>
      <c r="F45" t="inlineStr">
        <is>
          <t>BLEKINGE LÄN</t>
        </is>
      </c>
      <c r="G45" t="inlineStr">
        <is>
          <t>SÖLVESBORG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27151-2026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46188</v>
      </c>
      <c r="E46" s="1" t="n">
        <v>46217</v>
      </c>
      <c r="F46" t="inlineStr">
        <is>
          <t>BLEKINGE LÄN</t>
        </is>
      </c>
      <c r="G46" t="inlineStr">
        <is>
          <t>SÖLVESBORG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20127-2025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46217</v>
      </c>
      <c r="F47" t="inlineStr">
        <is>
          <t>BLEKINGE LÄN</t>
        </is>
      </c>
      <c r="G47" t="inlineStr">
        <is>
          <t>SÖLVESBORG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20093-2025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45772</v>
      </c>
      <c r="E48" s="1" t="n">
        <v>46217</v>
      </c>
      <c r="F48" t="inlineStr">
        <is>
          <t>BLEKINGE LÄN</t>
        </is>
      </c>
      <c r="G48" t="inlineStr">
        <is>
          <t>SÖLVESBORG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20155-2025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46217</v>
      </c>
      <c r="F49" t="inlineStr">
        <is>
          <t>BLEKINGE LÄN</t>
        </is>
      </c>
      <c r="G49" t="inlineStr">
        <is>
          <t>SÖLVESBORG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44571</v>
      </c>
      <c r="E50" s="1" t="n">
        <v>46217</v>
      </c>
      <c r="F50" t="inlineStr">
        <is>
          <t>BLEKINGE LÄN</t>
        </is>
      </c>
      <c r="G50" t="inlineStr">
        <is>
          <t>SÖLVESBORG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33742-2024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45520</v>
      </c>
      <c r="E51" s="1" t="n">
        <v>46217</v>
      </c>
      <c r="F51" t="inlineStr">
        <is>
          <t>BLEKINGE LÄN</t>
        </is>
      </c>
      <c r="G51" t="inlineStr">
        <is>
          <t>SÖLVESBORG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28082-2026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46195</v>
      </c>
      <c r="E52" s="1" t="n">
        <v>46217</v>
      </c>
      <c r="F52" t="inlineStr">
        <is>
          <t>BLEKINGE LÄN</t>
        </is>
      </c>
      <c r="G52" t="inlineStr">
        <is>
          <t>SÖLVESBORG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44983</v>
      </c>
      <c r="E53" s="1" t="n">
        <v>46217</v>
      </c>
      <c r="F53" t="inlineStr">
        <is>
          <t>BLEKINGE LÄN</t>
        </is>
      </c>
      <c r="G53" t="inlineStr">
        <is>
          <t>SÖLVESBORG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14481-2025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45741</v>
      </c>
      <c r="E54" s="1" t="n">
        <v>46217</v>
      </c>
      <c r="F54" t="inlineStr">
        <is>
          <t>BLEKINGE LÄN</t>
        </is>
      </c>
      <c r="G54" t="inlineStr">
        <is>
          <t>SÖLVESBORG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33817-2025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45842</v>
      </c>
      <c r="E55" s="1" t="n">
        <v>46217</v>
      </c>
      <c r="F55" t="inlineStr">
        <is>
          <t>BLEKINGE LÄN</t>
        </is>
      </c>
      <c r="G55" t="inlineStr">
        <is>
          <t>SÖLVESBORG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2200-2025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46217</v>
      </c>
      <c r="F56" t="inlineStr">
        <is>
          <t>BLEKINGE LÄN</t>
        </is>
      </c>
      <c r="G56" t="inlineStr">
        <is>
          <t>SÖLVESBORG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2210-2025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45673</v>
      </c>
      <c r="E57" s="1" t="n">
        <v>46217</v>
      </c>
      <c r="F57" t="inlineStr">
        <is>
          <t>BLEKINGE LÄN</t>
        </is>
      </c>
      <c r="G57" t="inlineStr">
        <is>
          <t>SÖLVESBORG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49688-2025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45939</v>
      </c>
      <c r="E58" s="1" t="n">
        <v>46217</v>
      </c>
      <c r="F58" t="inlineStr">
        <is>
          <t>BLEKINGE LÄN</t>
        </is>
      </c>
      <c r="G58" t="inlineStr">
        <is>
          <t>SÖLVESBORG</t>
        </is>
      </c>
      <c r="I58" t="n">
        <v>16.1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45190</v>
      </c>
      <c r="E59" s="1" t="n">
        <v>46217</v>
      </c>
      <c r="F59" t="inlineStr">
        <is>
          <t>BLEKINGE LÄN</t>
        </is>
      </c>
      <c r="G59" t="inlineStr">
        <is>
          <t>SÖLVESBORG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47242-2023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45197</v>
      </c>
      <c r="E60" s="1" t="n">
        <v>46217</v>
      </c>
      <c r="F60" t="inlineStr">
        <is>
          <t>BLEKINGE LÄN</t>
        </is>
      </c>
      <c r="G60" t="inlineStr">
        <is>
          <t>SÖLVESBORG</t>
        </is>
      </c>
      <c r="I60" t="n">
        <v>11.6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48751-2025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46217</v>
      </c>
      <c r="F61" t="inlineStr">
        <is>
          <t>BLEKINGE LÄN</t>
        </is>
      </c>
      <c r="G61" t="inlineStr">
        <is>
          <t>SÖLVESBORG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8130-2025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45707</v>
      </c>
      <c r="E62" s="1" t="n">
        <v>46217</v>
      </c>
      <c r="F62" t="inlineStr">
        <is>
          <t>BLEKINGE LÄN</t>
        </is>
      </c>
      <c r="G62" t="inlineStr">
        <is>
          <t>SÖLVESBORG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11528-2026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46083</v>
      </c>
      <c r="E63" s="1" t="n">
        <v>46217</v>
      </c>
      <c r="F63" t="inlineStr">
        <is>
          <t>BLEKINGE LÄN</t>
        </is>
      </c>
      <c r="G63" t="inlineStr">
        <is>
          <t>SÖLVESBORG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30992-2022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44768</v>
      </c>
      <c r="E64" s="1" t="n">
        <v>46217</v>
      </c>
      <c r="F64" t="inlineStr">
        <is>
          <t>BLEKINGE LÄN</t>
        </is>
      </c>
      <c r="G64" t="inlineStr">
        <is>
          <t>SÖLVESBORG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66447-2021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46217</v>
      </c>
      <c r="F65" t="inlineStr">
        <is>
          <t>BLEKINGE LÄN</t>
        </is>
      </c>
      <c r="G65" t="inlineStr">
        <is>
          <t>SÖLVESBORG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52089-2023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45216</v>
      </c>
      <c r="E66" s="1" t="n">
        <v>46217</v>
      </c>
      <c r="F66" t="inlineStr">
        <is>
          <t>BLEKINGE LÄN</t>
        </is>
      </c>
      <c r="G66" t="inlineStr">
        <is>
          <t>SÖLVESBORG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46217</v>
      </c>
      <c r="F67" t="inlineStr">
        <is>
          <t>BLEKINGE LÄN</t>
        </is>
      </c>
      <c r="G67" t="inlineStr">
        <is>
          <t>SÖLVESBORG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45673</v>
      </c>
      <c r="E68" s="1" t="n">
        <v>46217</v>
      </c>
      <c r="F68" t="inlineStr">
        <is>
          <t>BLEKINGE LÄN</t>
        </is>
      </c>
      <c r="G68" t="inlineStr">
        <is>
          <t>SÖLVESBORG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5407-2024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45331</v>
      </c>
      <c r="E69" s="1" t="n">
        <v>46217</v>
      </c>
      <c r="F69" t="inlineStr">
        <is>
          <t>BLEKINGE LÄN</t>
        </is>
      </c>
      <c r="G69" t="inlineStr">
        <is>
          <t>SÖLVESBORG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10403-2022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44623</v>
      </c>
      <c r="E70" s="1" t="n">
        <v>46217</v>
      </c>
      <c r="F70" t="inlineStr">
        <is>
          <t>BLEKINGE LÄN</t>
        </is>
      </c>
      <c r="G70" t="inlineStr">
        <is>
          <t>SÖLVESBORG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8837-2024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46217</v>
      </c>
      <c r="F71" t="inlineStr">
        <is>
          <t>BLEKINGE LÄN</t>
        </is>
      </c>
      <c r="G71" t="inlineStr">
        <is>
          <t>SÖLVESBORG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2832-2023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44945</v>
      </c>
      <c r="E72" s="1" t="n">
        <v>46217</v>
      </c>
      <c r="F72" t="inlineStr">
        <is>
          <t>BLEKINGE LÄN</t>
        </is>
      </c>
      <c r="G72" t="inlineStr">
        <is>
          <t>SÖLVESBORG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20164-2023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45053</v>
      </c>
      <c r="E73" s="1" t="n">
        <v>46217</v>
      </c>
      <c r="F73" t="inlineStr">
        <is>
          <t>BLEKINGE LÄN</t>
        </is>
      </c>
      <c r="G73" t="inlineStr">
        <is>
          <t>SÖLVESBORG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61767-2022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44917</v>
      </c>
      <c r="E74" s="1" t="n">
        <v>46217</v>
      </c>
      <c r="F74" t="inlineStr">
        <is>
          <t>BLEKINGE LÄN</t>
        </is>
      </c>
      <c r="G74" t="inlineStr">
        <is>
          <t>SÖLVESBORG</t>
        </is>
      </c>
      <c r="H74" t="inlineStr">
        <is>
          <t>Kyrkan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8523-2025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45709</v>
      </c>
      <c r="E75" s="1" t="n">
        <v>46217</v>
      </c>
      <c r="F75" t="inlineStr">
        <is>
          <t>BLEKINGE LÄN</t>
        </is>
      </c>
      <c r="G75" t="inlineStr">
        <is>
          <t>SÖLVESBORG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60469-2023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45258</v>
      </c>
      <c r="E76" s="1" t="n">
        <v>46217</v>
      </c>
      <c r="F76" t="inlineStr">
        <is>
          <t>BLEKINGE LÄN</t>
        </is>
      </c>
      <c r="G76" t="inlineStr">
        <is>
          <t>SÖLVESBORG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44752-2023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45184</v>
      </c>
      <c r="E77" s="1" t="n">
        <v>46217</v>
      </c>
      <c r="F77" t="inlineStr">
        <is>
          <t>BLEKINGE LÄN</t>
        </is>
      </c>
      <c r="G77" t="inlineStr">
        <is>
          <t>SÖLVESBORG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51284-2023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46217</v>
      </c>
      <c r="F78" t="inlineStr">
        <is>
          <t>BLEKINGE LÄN</t>
        </is>
      </c>
      <c r="G78" t="inlineStr">
        <is>
          <t>SÖLVESBORG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45309</v>
      </c>
      <c r="E79" s="1" t="n">
        <v>46217</v>
      </c>
      <c r="F79" t="inlineStr">
        <is>
          <t>BLEKINGE LÄN</t>
        </is>
      </c>
      <c r="G79" t="inlineStr">
        <is>
          <t>SÖLVESBORG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34394-2024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45525</v>
      </c>
      <c r="E80" s="1" t="n">
        <v>46217</v>
      </c>
      <c r="F80" t="inlineStr">
        <is>
          <t>BLEKINGE LÄN</t>
        </is>
      </c>
      <c r="G80" t="inlineStr">
        <is>
          <t>SÖLVESBORG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21464-2025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45782</v>
      </c>
      <c r="E81" s="1" t="n">
        <v>46217</v>
      </c>
      <c r="F81" t="inlineStr">
        <is>
          <t>BLEKINGE LÄN</t>
        </is>
      </c>
      <c r="G81" t="inlineStr">
        <is>
          <t>SÖLVESBORG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14475-2025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46217</v>
      </c>
      <c r="F82" t="inlineStr">
        <is>
          <t>BLEKINGE LÄN</t>
        </is>
      </c>
      <c r="G82" t="inlineStr">
        <is>
          <t>SÖLVESBORG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45296</v>
      </c>
      <c r="E83" s="1" t="n">
        <v>46217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10997-2024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45370</v>
      </c>
      <c r="E84" s="1" t="n">
        <v>46217</v>
      </c>
      <c r="F84" t="inlineStr">
        <is>
          <t>BLEKINGE LÄN</t>
        </is>
      </c>
      <c r="G84" t="inlineStr">
        <is>
          <t>SÖLVESBORG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27402-2025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46217</v>
      </c>
      <c r="F85" t="inlineStr">
        <is>
          <t>BLEKINGE LÄN</t>
        </is>
      </c>
      <c r="G85" t="inlineStr">
        <is>
          <t>SÖLVESBORG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32514-2025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45838</v>
      </c>
      <c r="E86" s="1" t="n">
        <v>46217</v>
      </c>
      <c r="F86" t="inlineStr">
        <is>
          <t>BLEKINGE LÄN</t>
        </is>
      </c>
      <c r="G86" t="inlineStr">
        <is>
          <t>SÖLVESBORG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46217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46217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46217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46217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46217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2026-07-14T08:59:14Z</dcterms:created>
  <dcterms:modified xmlns:dcterms="http://purl.org/dc/terms/" xmlns:xsi="http://www.w3.org/2001/XMLSchema-instance" xsi:type="dcterms:W3CDTF">2026-07-14T08:59:14Z</dcterms:modified>
</cp:coreProperties>
</file>