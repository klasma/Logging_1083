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46220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Kösa</t>
        </is>
      </c>
      <c r="V7">
        <f>HYPERLINK("https://klasma.github.io/Logging_1083/artfynd/A 5339-2024 artfynd.xlsx", "A 5339-2024")</f>
        <v/>
      </c>
      <c r="W7">
        <f>HYPERLINK("https://klasma.github.io/Logging_1083/kartor/A 5339-2024 karta.png", "A 5339-2024")</f>
        <v/>
      </c>
      <c r="Y7">
        <f>HYPERLINK("https://klasma.github.io/Logging_1083/klagomål/A 5339-2024 FSC-klagomål.docx", "A 5339-2024")</f>
        <v/>
      </c>
      <c r="Z7">
        <f>HYPERLINK("https://klasma.github.io/Logging_1083/klagomålsmail/A 5339-2024 FSC-klagomål mail.docx", "A 5339-2024")</f>
        <v/>
      </c>
      <c r="AA7">
        <f>HYPERLINK("https://klasma.github.io/Logging_1083/tillsyn/A 5339-2024 tillsynsbegäran.docx", "A 5339-2024")</f>
        <v/>
      </c>
      <c r="AB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46220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Gröngöling</t>
        </is>
      </c>
      <c r="V8">
        <f>HYPERLINK("https://klasma.github.io/Logging_1083/artfynd/A 9316-2024 artfynd.xlsx", "A 9316-2024")</f>
        <v/>
      </c>
      <c r="W8">
        <f>HYPERLINK("https://klasma.github.io/Logging_1083/kartor/A 9316-2024 karta.png", "A 9316-2024")</f>
        <v/>
      </c>
      <c r="Y8">
        <f>HYPERLINK("https://klasma.github.io/Logging_1083/klagomål/A 9316-2024 FSC-klagomål.docx", "A 9316-2024")</f>
        <v/>
      </c>
      <c r="Z8">
        <f>HYPERLINK("https://klasma.github.io/Logging_1083/klagomålsmail/A 9316-2024 FSC-klagomål mail.docx", "A 9316-2024")</f>
        <v/>
      </c>
      <c r="AA8">
        <f>HYPERLINK("https://klasma.github.io/Logging_1083/tillsyn/A 9316-2024 tillsynsbegäran.docx", "A 9316-2024")</f>
        <v/>
      </c>
      <c r="AB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46220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HYPERLINK("https://klasma.github.io/Logging_1083/artfynd/A 26455-2026 artfynd.xlsx", "A 26455-2026")</f>
        <v/>
      </c>
      <c r="W9">
        <f>HYPERLINK("https://klasma.github.io/Logging_1083/kartor/A 26455-2026 karta.png", "A 26455-2026")</f>
        <v/>
      </c>
      <c r="Y9">
        <f>HYPERLINK("https://klasma.github.io/Logging_1083/klagomål/A 26455-2026 FSC-klagomål.docx", "A 26455-2026")</f>
        <v/>
      </c>
      <c r="Z9">
        <f>HYPERLINK("https://klasma.github.io/Logging_1083/klagomålsmail/A 26455-2026 FSC-klagomål mail.docx", "A 26455-2026")</f>
        <v/>
      </c>
      <c r="AA9">
        <f>HYPERLINK("https://klasma.github.io/Logging_1083/tillsyn/A 26455-2026 tillsynsbegäran.docx", "A 26455-2026")</f>
        <v/>
      </c>
      <c r="AB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46220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Dvärgpipistrell</t>
        </is>
      </c>
      <c r="V10">
        <f>HYPERLINK("https://klasma.github.io/Logging_1083/artfynd/A 28478-2023 artfynd.xlsx", "A 28478-2023")</f>
        <v/>
      </c>
      <c r="W10">
        <f>HYPERLINK("https://klasma.github.io/Logging_1083/kartor/A 28478-2023 karta.png", "A 28478-2023")</f>
        <v/>
      </c>
      <c r="Y10">
        <f>HYPERLINK("https://klasma.github.io/Logging_1083/klagomål/A 28478-2023 FSC-klagomål.docx", "A 28478-2023")</f>
        <v/>
      </c>
      <c r="Z10">
        <f>HYPERLINK("https://klasma.github.io/Logging_1083/klagomålsmail/A 28478-2023 FSC-klagomål mail.docx", "A 28478-2023")</f>
        <v/>
      </c>
      <c r="AA10">
        <f>HYPERLINK("https://klasma.github.io/Logging_1083/tillsyn/A 28478-2023 tillsynsbegäran.docx", "A 28478-2023")</f>
        <v/>
      </c>
      <c r="AB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46220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HYPERLINK("https://klasma.github.io/Logging_1083/artfynd/A 48309-2024 artfynd.xlsx", "A 48309-2024")</f>
        <v/>
      </c>
      <c r="W11">
        <f>HYPERLINK("https://klasma.github.io/Logging_1083/kartor/A 48309-2024 karta.png", "A 48309-2024")</f>
        <v/>
      </c>
      <c r="Y11">
        <f>HYPERLINK("https://klasma.github.io/Logging_1083/klagomål/A 48309-2024 FSC-klagomål.docx", "A 48309-2024")</f>
        <v/>
      </c>
      <c r="Z11">
        <f>HYPERLINK("https://klasma.github.io/Logging_1083/klagomålsmail/A 48309-2024 FSC-klagomål mail.docx", "A 48309-2024")</f>
        <v/>
      </c>
      <c r="AA11">
        <f>HYPERLINK("https://klasma.github.io/Logging_1083/tillsyn/A 48309-2024 tillsynsbegäran.docx", "A 48309-2024")</f>
        <v/>
      </c>
      <c r="AB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46220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46220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46220</v>
      </c>
      <c r="F20" t="inlineStr">
        <is>
          <t>BLEKINGE LÄN</t>
        </is>
      </c>
      <c r="G20" t="inlineStr">
        <is>
          <t>SÖLVESBORG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46220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46220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46220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46220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17612-2024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45416</v>
      </c>
      <c r="E25" s="1" t="n">
        <v>46220</v>
      </c>
      <c r="F25" t="inlineStr">
        <is>
          <t>BLEKINGE LÄN</t>
        </is>
      </c>
      <c r="G25" t="inlineStr">
        <is>
          <t>SÖLVESBORG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44970</v>
      </c>
      <c r="E26" s="1" t="n">
        <v>46220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46220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46220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52086-2023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46220</v>
      </c>
      <c r="F29" t="inlineStr">
        <is>
          <t>BLEKINGE LÄN</t>
        </is>
      </c>
      <c r="G29" t="inlineStr">
        <is>
          <t>SÖLVESBORG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46220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46220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44493-2025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46220</v>
      </c>
      <c r="F32" t="inlineStr">
        <is>
          <t>BLEKINGE LÄN</t>
        </is>
      </c>
      <c r="G32" t="inlineStr">
        <is>
          <t>SÖLVESBORG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46220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46220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46220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46220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46220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46220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46220</v>
      </c>
      <c r="F39" t="inlineStr">
        <is>
          <t>BLEKINGE LÄN</t>
        </is>
      </c>
      <c r="G39" t="inlineStr">
        <is>
          <t>SÖLVESBORG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49688-2025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46220</v>
      </c>
      <c r="F40" t="inlineStr">
        <is>
          <t>BLEKINGE LÄN</t>
        </is>
      </c>
      <c r="G40" t="inlineStr">
        <is>
          <t>SÖLVESBORG</t>
        </is>
      </c>
      <c r="I40" t="n">
        <v>16.1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46220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46220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48751-2025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46220</v>
      </c>
      <c r="F43" t="inlineStr">
        <is>
          <t>BLEKINGE LÄN</t>
        </is>
      </c>
      <c r="G43" t="inlineStr">
        <is>
          <t>SÖLVESBORG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34394-2024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45525</v>
      </c>
      <c r="E44" s="1" t="n">
        <v>46220</v>
      </c>
      <c r="F44" t="inlineStr">
        <is>
          <t>BLEKINGE LÄN</t>
        </is>
      </c>
      <c r="G44" t="inlineStr">
        <is>
          <t>SÖLVESBORG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12298-2022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46220</v>
      </c>
      <c r="F45" t="inlineStr">
        <is>
          <t>BLEKINGE LÄN</t>
        </is>
      </c>
      <c r="G45" t="inlineStr">
        <is>
          <t>SÖLVESBORG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45331</v>
      </c>
      <c r="E46" s="1" t="n">
        <v>46220</v>
      </c>
      <c r="F46" t="inlineStr">
        <is>
          <t>BLEKINGE LÄN</t>
        </is>
      </c>
      <c r="G46" t="inlineStr">
        <is>
          <t>SÖLVESBORG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46220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30992-2022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44768</v>
      </c>
      <c r="E48" s="1" t="n">
        <v>46220</v>
      </c>
      <c r="F48" t="inlineStr">
        <is>
          <t>BLEKINGE LÄN</t>
        </is>
      </c>
      <c r="G48" t="inlineStr">
        <is>
          <t>SÖLVESBORG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10390-2024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46220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46220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46220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20093-2025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46220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20155-2025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46220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20127-2025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46220</v>
      </c>
      <c r="F54" t="inlineStr">
        <is>
          <t>BLEKINGE LÄN</t>
        </is>
      </c>
      <c r="G54" t="inlineStr">
        <is>
          <t>SÖLVESBORG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46220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11528-2026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46083</v>
      </c>
      <c r="E56" s="1" t="n">
        <v>46220</v>
      </c>
      <c r="F56" t="inlineStr">
        <is>
          <t>BLEKINGE LÄN</t>
        </is>
      </c>
      <c r="G56" t="inlineStr">
        <is>
          <t>SÖLVESBORG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46220</v>
      </c>
      <c r="F57" t="inlineStr">
        <is>
          <t>BLEKINGE LÄN</t>
        </is>
      </c>
      <c r="G57" t="inlineStr">
        <is>
          <t>SÖLVESBORG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44669</v>
      </c>
      <c r="E58" s="1" t="n">
        <v>46220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46220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46220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46220</v>
      </c>
      <c r="F61" t="inlineStr">
        <is>
          <t>BLEKINGE LÄN</t>
        </is>
      </c>
      <c r="G61" t="inlineStr">
        <is>
          <t>SÖLVESBORG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46220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38317-2025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46220</v>
      </c>
      <c r="F63" t="inlineStr">
        <is>
          <t>BLEKINGE LÄN</t>
        </is>
      </c>
      <c r="G63" t="inlineStr">
        <is>
          <t>SÖLVESBORG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46220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46220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46220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46220</v>
      </c>
      <c r="F67" t="inlineStr">
        <is>
          <t>BLEKINGE LÄN</t>
        </is>
      </c>
      <c r="G67" t="inlineStr">
        <is>
          <t>SÖLVESBORG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46220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46220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46220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33817-2025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45842</v>
      </c>
      <c r="E71" s="1" t="n">
        <v>46220</v>
      </c>
      <c r="F71" t="inlineStr">
        <is>
          <t>BLEKINGE LÄN</t>
        </is>
      </c>
      <c r="G71" t="inlineStr">
        <is>
          <t>SÖLVESBORG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46220</v>
      </c>
      <c r="F72" t="inlineStr">
        <is>
          <t>BLEKINGE LÄN</t>
        </is>
      </c>
      <c r="G72" t="inlineStr">
        <is>
          <t>SÖLVESBORG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46220</v>
      </c>
      <c r="F73" t="inlineStr">
        <is>
          <t>BLEKINGE LÄN</t>
        </is>
      </c>
      <c r="G73" t="inlineStr">
        <is>
          <t>SÖLVESBORG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46220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62334-2023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46220</v>
      </c>
      <c r="F75" t="inlineStr">
        <is>
          <t>BLEKINGE LÄN</t>
        </is>
      </c>
      <c r="G75" t="inlineStr">
        <is>
          <t>SÖLVESBORG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26493-2023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46220</v>
      </c>
      <c r="F76" t="inlineStr">
        <is>
          <t>BLEKINGE LÄN</t>
        </is>
      </c>
      <c r="G76" t="inlineStr">
        <is>
          <t>SÖLVESBORG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22561-2023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45069</v>
      </c>
      <c r="E77" s="1" t="n">
        <v>46220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8130-2025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45707</v>
      </c>
      <c r="E78" s="1" t="n">
        <v>46220</v>
      </c>
      <c r="F78" t="inlineStr">
        <is>
          <t>BLEKINGE LÄN</t>
        </is>
      </c>
      <c r="G78" t="inlineStr">
        <is>
          <t>SÖLVESBORG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26478-2023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46220</v>
      </c>
      <c r="F79" t="inlineStr">
        <is>
          <t>BLEKINGE LÄN</t>
        </is>
      </c>
      <c r="G79" t="inlineStr">
        <is>
          <t>SÖLVESBORG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60469-2023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46220</v>
      </c>
      <c r="F80" t="inlineStr">
        <is>
          <t>BLEKINGE LÄN</t>
        </is>
      </c>
      <c r="G80" t="inlineStr">
        <is>
          <t>SÖLVESBORG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9602-2023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44983</v>
      </c>
      <c r="E81" s="1" t="n">
        <v>46220</v>
      </c>
      <c r="F81" t="inlineStr">
        <is>
          <t>BLEKINGE LÄN</t>
        </is>
      </c>
      <c r="G81" t="inlineStr">
        <is>
          <t>SÖLVESBORG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16297-2022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46220</v>
      </c>
      <c r="F82" t="inlineStr">
        <is>
          <t>BLEKINGE LÄN</t>
        </is>
      </c>
      <c r="G82" t="inlineStr">
        <is>
          <t>SÖLVESBORG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33742-2024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45520</v>
      </c>
      <c r="E83" s="1" t="n">
        <v>46220</v>
      </c>
      <c r="F83" t="inlineStr">
        <is>
          <t>BLEKINGE LÄN</t>
        </is>
      </c>
      <c r="G83" t="inlineStr">
        <is>
          <t>SÖLVESBORG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46220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46220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46220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46220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46220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46220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46220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46220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2026-07-17T01:41:57Z</dcterms:created>
  <dcterms:modified xmlns:dcterms="http://purl.org/dc/terms/" xmlns:xsi="http://www.w3.org/2001/XMLSchema-instance" xsi:type="dcterms:W3CDTF">2026-07-17T01:41:57Z</dcterms:modified>
</cp:coreProperties>
</file>